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isie" sheetId="1" state="visible" r:id="rId3"/>
    <sheet name="Budget" sheetId="2" state="visible" r:id="rId4"/>
    <sheet name="Tableau de bo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<sst xmlns="http://schemas.openxmlformats.org/spreadsheetml/2006/main" count="52" uniqueCount="41">
  <si>
    <t xml:space="preserve">GreenFlame — Suivi des Dépenses</t>
  </si>
  <si>
    <t xml:space="preserve">Saisissez vos dépenses ligne par ligne — colonnes Date, Catégorie et Montant obligatoires.</t>
  </si>
  <si>
    <t xml:space="preserve">Date</t>
  </si>
  <si>
    <t xml:space="preserve">Catégorie</t>
  </si>
  <si>
    <t xml:space="preserve">Description</t>
  </si>
  <si>
    <t xml:space="preserve">Montant (FCFA)</t>
  </si>
  <si>
    <t xml:space="preserve">Mode de paiement</t>
  </si>
  <si>
    <t xml:space="preserve">Notes</t>
  </si>
  <si>
    <t xml:space="preserve">Infrastructure &amp; Hébergement</t>
  </si>
  <si>
    <t xml:space="preserve">Vercel Pro — juin 2026</t>
  </si>
  <si>
    <t xml:space="preserve">Carte</t>
  </si>
  <si>
    <t xml:space="preserve">Légal &amp; Juridique</t>
  </si>
  <si>
    <t xml:space="preserve">Honoraires conseiller</t>
  </si>
  <si>
    <t xml:space="preserve">MoMo</t>
  </si>
  <si>
    <t xml:space="preserve">Contrat mensuel</t>
  </si>
  <si>
    <t xml:space="preserve">Outils &amp; Logiciels</t>
  </si>
  <si>
    <t xml:space="preserve">Supabase Pro — juin 2026</t>
  </si>
  <si>
    <t xml:space="preserve">GreenFlame — Budget Mensuel par Catégorie</t>
  </si>
  <si>
    <t xml:space="preserve">Période affichée :</t>
  </si>
  <si>
    <t xml:space="preserve">← Modifiez mois/année pour changer la période</t>
  </si>
  <si>
    <t xml:space="preserve">TOTAL</t>
  </si>
  <si>
    <t xml:space="preserve">Budget mensuel (FCFA)</t>
  </si>
  <si>
    <t xml:space="preserve">Réalisé (FCFA)</t>
  </si>
  <si>
    <t xml:space="preserve">Écart (FCFA)</t>
  </si>
  <si>
    <t xml:space="preserve">% Consommé</t>
  </si>
  <si>
    <t xml:space="preserve">Marketing &amp; Communication</t>
  </si>
  <si>
    <t xml:space="preserve">Terrain &amp; Commercial</t>
  </si>
  <si>
    <t xml:space="preserve">Personnel &amp; Associé</t>
  </si>
  <si>
    <t xml:space="preserve">Divers</t>
  </si>
  <si>
    <t xml:space="preserve">GreenFlame — Tableau de Bord Financier</t>
  </si>
  <si>
    <t xml:space="preserve">Budget mensuel total</t>
  </si>
  <si>
    <t xml:space="preserve">Total dépensé</t>
  </si>
  <si>
    <t xml:space="preserve">Solde restant</t>
  </si>
  <si>
    <t xml:space="preserve">Taux de consommation</t>
  </si>
  <si>
    <t xml:space="preserve">  DÉTAIL PAR CATÉGORIE — MOIS EN COURS</t>
  </si>
  <si>
    <t xml:space="preserve">Budget</t>
  </si>
  <si>
    <t xml:space="preserve">Réalisé</t>
  </si>
  <si>
    <t xml:space="preserve">Écart</t>
  </si>
  <si>
    <t xml:space="preserve">Jauge visuelle</t>
  </si>
  <si>
    <t xml:space="preserve">  5 DERNIÈRES DÉPENSES SAISIES</t>
  </si>
  <si>
    <t xml:space="preserve">Mode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</si>
</sst>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&quot; FCFA&quot;;\(#,##0&quot; FCFA)&quot;;\-"/>
    <numFmt numFmtId="167" formatCode="0&quot; (mois)&quot;"/>
    <numFmt numFmtId="168" formatCode="0.0%;\(0.0%\)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666666"/>
      <name val="Arial"/>
      <family val="0"/>
      <charset val="1"/>
    </font>
    <font>
      <b val="true"/>
      <sz val="18"/>
      <color rgb="FF166534"/>
      <name val="Arial"/>
      <family val="0"/>
      <charset val="1"/>
    </font>
    <font>
      <b val="true"/>
      <sz val="18"/>
      <color rgb="FFDC2626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16653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66534"/>
        <bgColor rgb="FF15803D"/>
      </patternFill>
    </fill>
    <fill>
      <patternFill patternType="solid">
        <fgColor rgb="FFDCFCE7"/>
        <bgColor rgb="FFCCFFCC"/>
      </patternFill>
    </fill>
    <fill>
      <patternFill patternType="solid">
        <fgColor rgb="FF15803D"/>
        <bgColor rgb="FF166534"/>
      </patternFill>
    </fill>
    <fill>
      <patternFill patternType="solid">
        <fgColor rgb="FFF5F5F5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FFF00"/>
        <bgColor rgb="FFFFFF00"/>
      </patternFill>
    </fill>
    <fill>
      <patternFill patternType="solid">
        <fgColor rgb="FF16A34A"/>
        <bgColor rgb="FF15803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03D"/>
      <rgbColor rgb="FFCCCCCC"/>
      <rgbColor rgb="FF878787"/>
      <rgbColor rgb="FF9999FF"/>
      <rgbColor rgb="FF993366"/>
      <rgbColor rgb="FFF9F9F9"/>
      <rgbColor rgb="FFDCFC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66534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4ADE80"/>
      <rgbColor rgb="FF99CC00"/>
      <rgbColor rgb="FFFFCC00"/>
      <rgbColor rgb="FFFF9900"/>
      <rgbColor rgb="FFFF6600"/>
      <rgbColor rgb="FF666666"/>
      <rgbColor rgb="FF888888"/>
      <rgbColor rgb="FF003366"/>
      <rgbColor rgb="FF16A34A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Budget vs Réalisé par Catégorie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Budget!B5</c:f>
              <c:strCache>
                <c:ptCount val="1"/>
                <c:pt idx="0">
                  <c:v>Budget mensuel (FCFA)</c:v>
                </c:pt>
              </c:strCache>
            </c:strRef>
          </c:tx>
          <c:spPr>
            <a:solidFill>
              <a:srgbClr val="16653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Budget!$A$6:$A$12</c:f>
              <c:strCache>
                <c:ptCount val="7"/>
                <c:pt idx="0">
                  <c:v>Infrastructure &amp; Hébergement</c:v>
                </c:pt>
                <c:pt idx="1">
                  <c:v>Outils &amp; Logiciels</c:v>
                </c:pt>
                <c:pt idx="2">
                  <c:v>Légal &amp; Juridique</c:v>
                </c:pt>
                <c:pt idx="3">
                  <c:v>Marketing &amp; Communication</c:v>
                </c:pt>
                <c:pt idx="4">
                  <c:v>Terrain &amp; Commercial</c:v>
                </c:pt>
                <c:pt idx="5">
                  <c:v>Personnel &amp; Associé</c:v>
                </c:pt>
                <c:pt idx="6">
                  <c:v>Divers</c:v>
                </c:pt>
              </c:strCache>
            </c:strRef>
          </c:cat>
          <c:val>
            <c:numRef>
              <c:f>Budget!$B$6:$B$12</c:f>
              <c:numCache>
                <c:formatCode>#,##0" FCFA";\(#,##0" FCFA)";\-</c:formatCode>
                <c:ptCount val="7"/>
                <c:pt idx="0">
                  <c:v>25000</c:v>
                </c:pt>
                <c:pt idx="1">
                  <c:v>15000</c:v>
                </c:pt>
                <c:pt idx="2">
                  <c:v>75000</c:v>
                </c:pt>
                <c:pt idx="3">
                  <c:v>30000</c:v>
                </c:pt>
                <c:pt idx="4">
                  <c:v>20000</c:v>
                </c:pt>
                <c:pt idx="5">
                  <c:v>0</c:v>
                </c:pt>
                <c:pt idx="6">
                  <c:v>10000</c:v>
                </c:pt>
              </c:numCache>
            </c:numRef>
          </c:val>
        </c:ser>
        <c:ser>
          <c:idx val="1"/>
          <c:order val="1"/>
          <c:tx>
            <c:strRef>
              <c:f>Budget!C5</c:f>
              <c:strCache>
                <c:ptCount val="1"/>
                <c:pt idx="0">
                  <c:v>Réalisé (FCFA)</c:v>
                </c:pt>
              </c:strCache>
            </c:strRef>
          </c:tx>
          <c:spPr>
            <a:solidFill>
              <a:srgbClr val="4ADE80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Budget!$A$6:$A$12</c:f>
              <c:strCache>
                <c:ptCount val="7"/>
                <c:pt idx="0">
                  <c:v>Infrastructure &amp; Hébergement</c:v>
                </c:pt>
                <c:pt idx="1">
                  <c:v>Outils &amp; Logiciels</c:v>
                </c:pt>
                <c:pt idx="2">
                  <c:v>Légal &amp; Juridique</c:v>
                </c:pt>
                <c:pt idx="3">
                  <c:v>Marketing &amp; Communication</c:v>
                </c:pt>
                <c:pt idx="4">
                  <c:v>Terrain &amp; Commercial</c:v>
                </c:pt>
                <c:pt idx="5">
                  <c:v>Personnel &amp; Associé</c:v>
                </c:pt>
                <c:pt idx="6">
                  <c:v>Divers</c:v>
                </c:pt>
              </c:strCache>
            </c:strRef>
          </c:cat>
          <c:val>
            <c:numRef>
              <c:f>Budget!$C$6:$C$12</c:f>
              <c:numCache>
                <c:formatCode>#,##0" FCFA";\(#,##0" FCFA)";\-</c:formatCode>
                <c:ptCount val="7"/>
                <c:pt idx="0">
                  <c:v>12000</c:v>
                </c:pt>
                <c:pt idx="1">
                  <c:v>8000</c:v>
                </c:pt>
                <c:pt idx="2">
                  <c:v>50000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24798571"/>
        <c:axId val="80178296"/>
      </c:barChart>
      <c:catAx>
        <c:axId val="247985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Catégorie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178296"/>
        <c:crosses val="autoZero"/>
        <c:auto val="1"/>
        <c:lblAlgn val="ctr"/>
        <c:lblOffset val="100"/>
        <c:noMultiLvlLbl val="0"/>
      </c:catAx>
      <c:valAx>
        <c:axId val="801782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FCFA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FCFA&quot;;\(#,##0&quot; FCFA)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7985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4</xdr:col>
      <xdr:colOff>800640</xdr:colOff>
      <xdr:row>36</xdr:row>
      <xdr:rowOff>128880</xdr:rowOff>
    </xdr:to>
    <xdr:graphicFrame>
      <xdr:nvGraphicFramePr>
        <xdr:cNvPr id="1" name="Chart 1"/>
        <xdr:cNvGraphicFramePr/>
      </xdr:nvGraphicFramePr>
      <xdr:xfrm>
        <a:off x="0" y="359100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3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15" hidden="false" customHeight="false" outlineLevel="0" collapsed="false">
      <c r="A4" s="4" t="n">
        <v>46174</v>
      </c>
      <c r="B4" s="5" t="s">
        <v>8</v>
      </c>
      <c r="C4" s="6" t="s">
        <v>9</v>
      </c>
      <c r="D4" s="7" t="n">
        <v>12000</v>
      </c>
      <c r="E4" s="8" t="s">
        <v>10</v>
      </c>
      <c r="F4" s="6"/>
    </row>
    <row r="5" customFormat="false" ht="15" hidden="false" customHeight="false" outlineLevel="0" collapsed="false">
      <c r="A5" s="9" t="n">
        <v>46176</v>
      </c>
      <c r="B5" s="10" t="s">
        <v>11</v>
      </c>
      <c r="C5" s="11" t="s">
        <v>12</v>
      </c>
      <c r="D5" s="12" t="n">
        <v>50000</v>
      </c>
      <c r="E5" s="13" t="s">
        <v>13</v>
      </c>
      <c r="F5" s="11" t="s">
        <v>14</v>
      </c>
    </row>
    <row r="6" customFormat="false" ht="15" hidden="false" customHeight="false" outlineLevel="0" collapsed="false">
      <c r="A6" s="4" t="n">
        <v>46178</v>
      </c>
      <c r="B6" s="5" t="s">
        <v>15</v>
      </c>
      <c r="C6" s="6" t="s">
        <v>16</v>
      </c>
      <c r="D6" s="7" t="n">
        <v>8000</v>
      </c>
      <c r="E6" s="8" t="s">
        <v>10</v>
      </c>
      <c r="F6" s="6"/>
    </row>
    <row r="7" customFormat="false" ht="15" hidden="false" customHeight="false" outlineLevel="0" collapsed="false">
      <c r="A7" s="14"/>
      <c r="B7" s="15"/>
      <c r="C7" s="15"/>
      <c r="D7" s="16"/>
      <c r="E7" s="15"/>
      <c r="F7" s="15"/>
    </row>
    <row r="8" customFormat="false" ht="15" hidden="false" customHeight="false" outlineLevel="0" collapsed="false">
      <c r="A8" s="17"/>
      <c r="B8" s="18"/>
      <c r="C8" s="18"/>
      <c r="D8" s="19"/>
      <c r="E8" s="18"/>
      <c r="F8" s="18"/>
    </row>
    <row r="9" customFormat="false" ht="15" hidden="false" customHeight="false" outlineLevel="0" collapsed="false">
      <c r="A9" s="14"/>
      <c r="B9" s="15"/>
      <c r="C9" s="15"/>
      <c r="D9" s="16"/>
      <c r="E9" s="15"/>
      <c r="F9" s="15"/>
    </row>
    <row r="10" customFormat="false" ht="15" hidden="false" customHeight="false" outlineLevel="0" collapsed="false">
      <c r="A10" s="17"/>
      <c r="B10" s="18"/>
      <c r="C10" s="18"/>
      <c r="D10" s="19"/>
      <c r="E10" s="18"/>
      <c r="F10" s="18"/>
    </row>
    <row r="11" customFormat="false" ht="15" hidden="false" customHeight="false" outlineLevel="0" collapsed="false">
      <c r="A11" s="14"/>
      <c r="B11" s="15"/>
      <c r="C11" s="15"/>
      <c r="D11" s="16"/>
      <c r="E11" s="15"/>
      <c r="F11" s="15"/>
    </row>
    <row r="12" customFormat="false" ht="15" hidden="false" customHeight="false" outlineLevel="0" collapsed="false">
      <c r="A12" s="17"/>
      <c r="B12" s="18"/>
      <c r="C12" s="18"/>
      <c r="D12" s="19"/>
      <c r="E12" s="18"/>
      <c r="F12" s="18"/>
    </row>
    <row r="13" customFormat="false" ht="15" hidden="false" customHeight="false" outlineLevel="0" collapsed="false">
      <c r="A13" s="14"/>
      <c r="B13" s="15"/>
      <c r="C13" s="15"/>
      <c r="D13" s="16"/>
      <c r="E13" s="15"/>
      <c r="F13" s="15"/>
    </row>
    <row r="14" customFormat="false" ht="15" hidden="false" customHeight="false" outlineLevel="0" collapsed="false">
      <c r="A14" s="17"/>
      <c r="B14" s="18"/>
      <c r="C14" s="18"/>
      <c r="D14" s="19"/>
      <c r="E14" s="18"/>
      <c r="F14" s="18"/>
    </row>
    <row r="15" customFormat="false" ht="15" hidden="false" customHeight="false" outlineLevel="0" collapsed="false">
      <c r="A15" s="14"/>
      <c r="B15" s="15"/>
      <c r="C15" s="15"/>
      <c r="D15" s="16"/>
      <c r="E15" s="15"/>
      <c r="F15" s="15"/>
    </row>
    <row r="16" customFormat="false" ht="15" hidden="false" customHeight="false" outlineLevel="0" collapsed="false">
      <c r="A16" s="17"/>
      <c r="B16" s="18"/>
      <c r="C16" s="18"/>
      <c r="D16" s="19"/>
      <c r="E16" s="18"/>
      <c r="F16" s="18"/>
    </row>
    <row r="17" customFormat="false" ht="15" hidden="false" customHeight="false" outlineLevel="0" collapsed="false">
      <c r="A17" s="14"/>
      <c r="B17" s="15"/>
      <c r="C17" s="15"/>
      <c r="D17" s="16"/>
      <c r="E17" s="15"/>
      <c r="F17" s="15"/>
    </row>
    <row r="18" customFormat="false" ht="15" hidden="false" customHeight="false" outlineLevel="0" collapsed="false">
      <c r="A18" s="17"/>
      <c r="B18" s="18"/>
      <c r="C18" s="18"/>
      <c r="D18" s="19"/>
      <c r="E18" s="18"/>
      <c r="F18" s="18"/>
    </row>
    <row r="19" customFormat="false" ht="15" hidden="false" customHeight="false" outlineLevel="0" collapsed="false">
      <c r="A19" s="14"/>
      <c r="B19" s="15"/>
      <c r="C19" s="15"/>
      <c r="D19" s="16"/>
      <c r="E19" s="15"/>
      <c r="F19" s="15"/>
    </row>
    <row r="20" customFormat="false" ht="15" hidden="false" customHeight="false" outlineLevel="0" collapsed="false">
      <c r="A20" s="17"/>
      <c r="B20" s="18"/>
      <c r="C20" s="18"/>
      <c r="D20" s="19"/>
      <c r="E20" s="18"/>
      <c r="F20" s="18"/>
    </row>
    <row r="21" customFormat="false" ht="15" hidden="false" customHeight="false" outlineLevel="0" collapsed="false">
      <c r="A21" s="14"/>
      <c r="B21" s="15"/>
      <c r="C21" s="15"/>
      <c r="D21" s="16"/>
      <c r="E21" s="15"/>
      <c r="F21" s="15"/>
    </row>
    <row r="22" customFormat="false" ht="15" hidden="false" customHeight="false" outlineLevel="0" collapsed="false">
      <c r="A22" s="17"/>
      <c r="B22" s="18"/>
      <c r="C22" s="18"/>
      <c r="D22" s="19"/>
      <c r="E22" s="18"/>
      <c r="F22" s="18"/>
    </row>
    <row r="23" customFormat="false" ht="15" hidden="false" customHeight="false" outlineLevel="0" collapsed="false">
      <c r="A23" s="14"/>
      <c r="B23" s="15"/>
      <c r="C23" s="15"/>
      <c r="D23" s="16"/>
      <c r="E23" s="15"/>
      <c r="F23" s="15"/>
    </row>
    <row r="24" customFormat="false" ht="15" hidden="false" customHeight="false" outlineLevel="0" collapsed="false">
      <c r="A24" s="17"/>
      <c r="B24" s="18"/>
      <c r="C24" s="18"/>
      <c r="D24" s="19"/>
      <c r="E24" s="18"/>
      <c r="F24" s="18"/>
    </row>
    <row r="25" customFormat="false" ht="15" hidden="false" customHeight="false" outlineLevel="0" collapsed="false">
      <c r="A25" s="14"/>
      <c r="B25" s="15"/>
      <c r="C25" s="15"/>
      <c r="D25" s="16"/>
      <c r="E25" s="15"/>
      <c r="F25" s="15"/>
    </row>
    <row r="26" customFormat="false" ht="15" hidden="false" customHeight="false" outlineLevel="0" collapsed="false">
      <c r="A26" s="17"/>
      <c r="B26" s="18"/>
      <c r="C26" s="18"/>
      <c r="D26" s="19"/>
      <c r="E26" s="18"/>
      <c r="F26" s="18"/>
    </row>
    <row r="27" customFormat="false" ht="15" hidden="false" customHeight="false" outlineLevel="0" collapsed="false">
      <c r="A27" s="14"/>
      <c r="B27" s="15"/>
      <c r="C27" s="15"/>
      <c r="D27" s="16"/>
      <c r="E27" s="15"/>
      <c r="F27" s="15"/>
    </row>
    <row r="28" customFormat="false" ht="15" hidden="false" customHeight="false" outlineLevel="0" collapsed="false">
      <c r="A28" s="17"/>
      <c r="B28" s="18"/>
      <c r="C28" s="18"/>
      <c r="D28" s="19"/>
      <c r="E28" s="18"/>
      <c r="F28" s="18"/>
    </row>
    <row r="29" customFormat="false" ht="15" hidden="false" customHeight="false" outlineLevel="0" collapsed="false">
      <c r="A29" s="14"/>
      <c r="B29" s="15"/>
      <c r="C29" s="15"/>
      <c r="D29" s="16"/>
      <c r="E29" s="15"/>
      <c r="F29" s="15"/>
    </row>
    <row r="30" customFormat="false" ht="15" hidden="false" customHeight="false" outlineLevel="0" collapsed="false">
      <c r="A30" s="17"/>
      <c r="B30" s="18"/>
      <c r="C30" s="18"/>
      <c r="D30" s="19"/>
      <c r="E30" s="18"/>
      <c r="F30" s="18"/>
    </row>
    <row r="31" customFormat="false" ht="15" hidden="false" customHeight="false" outlineLevel="0" collapsed="false">
      <c r="A31" s="14"/>
      <c r="B31" s="15"/>
      <c r="C31" s="15"/>
      <c r="D31" s="16"/>
      <c r="E31" s="15"/>
      <c r="F31" s="15"/>
    </row>
    <row r="32" customFormat="false" ht="15" hidden="false" customHeight="false" outlineLevel="0" collapsed="false">
      <c r="A32" s="17"/>
      <c r="B32" s="18"/>
      <c r="C32" s="18"/>
      <c r="D32" s="19"/>
      <c r="E32" s="18"/>
      <c r="F32" s="18"/>
    </row>
    <row r="33" customFormat="false" ht="15" hidden="false" customHeight="false" outlineLevel="0" collapsed="false">
      <c r="A33" s="14"/>
      <c r="B33" s="15"/>
      <c r="C33" s="15"/>
      <c r="D33" s="16"/>
      <c r="E33" s="15"/>
      <c r="F33" s="15"/>
    </row>
    <row r="34" customFormat="false" ht="15" hidden="false" customHeight="false" outlineLevel="0" collapsed="false">
      <c r="A34" s="17"/>
      <c r="B34" s="18"/>
      <c r="C34" s="18"/>
      <c r="D34" s="19"/>
      <c r="E34" s="18"/>
      <c r="F34" s="18"/>
    </row>
    <row r="35" customFormat="false" ht="15" hidden="false" customHeight="false" outlineLevel="0" collapsed="false">
      <c r="A35" s="14"/>
      <c r="B35" s="15"/>
      <c r="C35" s="15"/>
      <c r="D35" s="16"/>
      <c r="E35" s="15"/>
      <c r="F35" s="15"/>
    </row>
    <row r="36" customFormat="false" ht="15" hidden="false" customHeight="false" outlineLevel="0" collapsed="false">
      <c r="A36" s="17"/>
      <c r="B36" s="18"/>
      <c r="C36" s="18"/>
      <c r="D36" s="19"/>
      <c r="E36" s="18"/>
      <c r="F36" s="18"/>
    </row>
    <row r="37" customFormat="false" ht="15" hidden="false" customHeight="false" outlineLevel="0" collapsed="false">
      <c r="A37" s="14"/>
      <c r="B37" s="15"/>
      <c r="C37" s="15"/>
      <c r="D37" s="16"/>
      <c r="E37" s="15"/>
      <c r="F37" s="15"/>
    </row>
    <row r="38" customFormat="false" ht="15" hidden="false" customHeight="false" outlineLevel="0" collapsed="false">
      <c r="A38" s="17"/>
      <c r="B38" s="18"/>
      <c r="C38" s="18"/>
      <c r="D38" s="19"/>
      <c r="E38" s="18"/>
      <c r="F38" s="18"/>
    </row>
    <row r="39" customFormat="false" ht="15" hidden="false" customHeight="false" outlineLevel="0" collapsed="false">
      <c r="A39" s="14"/>
      <c r="B39" s="15"/>
      <c r="C39" s="15"/>
      <c r="D39" s="16"/>
      <c r="E39" s="15"/>
      <c r="F39" s="15"/>
    </row>
    <row r="40" customFormat="false" ht="15" hidden="false" customHeight="false" outlineLevel="0" collapsed="false">
      <c r="A40" s="17"/>
      <c r="B40" s="18"/>
      <c r="C40" s="18"/>
      <c r="D40" s="19"/>
      <c r="E40" s="18"/>
      <c r="F40" s="18"/>
    </row>
    <row r="41" customFormat="false" ht="15" hidden="false" customHeight="false" outlineLevel="0" collapsed="false">
      <c r="A41" s="14"/>
      <c r="B41" s="15"/>
      <c r="C41" s="15"/>
      <c r="D41" s="16"/>
      <c r="E41" s="15"/>
      <c r="F41" s="15"/>
    </row>
    <row r="42" customFormat="false" ht="15" hidden="false" customHeight="false" outlineLevel="0" collapsed="false">
      <c r="A42" s="17"/>
      <c r="B42" s="18"/>
      <c r="C42" s="18"/>
      <c r="D42" s="19"/>
      <c r="E42" s="18"/>
      <c r="F42" s="18"/>
    </row>
    <row r="43" customFormat="false" ht="15" hidden="false" customHeight="false" outlineLevel="0" collapsed="false">
      <c r="A43" s="14"/>
      <c r="B43" s="15"/>
      <c r="C43" s="15"/>
      <c r="D43" s="16"/>
      <c r="E43" s="15"/>
      <c r="F43" s="15"/>
    </row>
    <row r="44" customFormat="false" ht="15" hidden="false" customHeight="false" outlineLevel="0" collapsed="false">
      <c r="A44" s="17"/>
      <c r="B44" s="18"/>
      <c r="C44" s="18"/>
      <c r="D44" s="19"/>
      <c r="E44" s="18"/>
      <c r="F44" s="18"/>
    </row>
    <row r="45" customFormat="false" ht="15" hidden="false" customHeight="false" outlineLevel="0" collapsed="false">
      <c r="A45" s="14"/>
      <c r="B45" s="15"/>
      <c r="C45" s="15"/>
      <c r="D45" s="16"/>
      <c r="E45" s="15"/>
      <c r="F45" s="15"/>
    </row>
    <row r="46" customFormat="false" ht="15" hidden="false" customHeight="false" outlineLevel="0" collapsed="false">
      <c r="A46" s="17"/>
      <c r="B46" s="18"/>
      <c r="C46" s="18"/>
      <c r="D46" s="19"/>
      <c r="E46" s="18"/>
      <c r="F46" s="18"/>
    </row>
    <row r="47" customFormat="false" ht="15" hidden="false" customHeight="false" outlineLevel="0" collapsed="false">
      <c r="A47" s="14"/>
      <c r="B47" s="15"/>
      <c r="C47" s="15"/>
      <c r="D47" s="16"/>
      <c r="E47" s="15"/>
      <c r="F47" s="15"/>
    </row>
    <row r="48" customFormat="false" ht="15" hidden="false" customHeight="false" outlineLevel="0" collapsed="false">
      <c r="A48" s="17"/>
      <c r="B48" s="18"/>
      <c r="C48" s="18"/>
      <c r="D48" s="19"/>
      <c r="E48" s="18"/>
      <c r="F48" s="18"/>
    </row>
    <row r="49" customFormat="false" ht="15" hidden="false" customHeight="false" outlineLevel="0" collapsed="false">
      <c r="A49" s="14"/>
      <c r="B49" s="15"/>
      <c r="C49" s="15"/>
      <c r="D49" s="16"/>
      <c r="E49" s="15"/>
      <c r="F49" s="15"/>
    </row>
    <row r="50" customFormat="false" ht="15" hidden="false" customHeight="false" outlineLevel="0" collapsed="false">
      <c r="A50" s="17"/>
      <c r="B50" s="18"/>
      <c r="C50" s="18"/>
      <c r="D50" s="19"/>
      <c r="E50" s="18"/>
      <c r="F50" s="18"/>
    </row>
    <row r="51" customFormat="false" ht="15" hidden="false" customHeight="false" outlineLevel="0" collapsed="false">
      <c r="A51" s="14"/>
      <c r="B51" s="15"/>
      <c r="C51" s="15"/>
      <c r="D51" s="16"/>
      <c r="E51" s="15"/>
      <c r="F51" s="15"/>
    </row>
    <row r="52" customFormat="false" ht="15" hidden="false" customHeight="false" outlineLevel="0" collapsed="false">
      <c r="A52" s="17"/>
      <c r="B52" s="18"/>
      <c r="C52" s="18"/>
      <c r="D52" s="19"/>
      <c r="E52" s="18"/>
      <c r="F52" s="18"/>
    </row>
    <row r="53" customFormat="false" ht="15" hidden="false" customHeight="false" outlineLevel="0" collapsed="false">
      <c r="A53" s="14"/>
      <c r="B53" s="15"/>
      <c r="C53" s="15"/>
      <c r="D53" s="16"/>
      <c r="E53" s="15"/>
      <c r="F53" s="15"/>
    </row>
    <row r="54" customFormat="false" ht="15" hidden="false" customHeight="false" outlineLevel="0" collapsed="false">
      <c r="A54" s="17"/>
      <c r="B54" s="18"/>
      <c r="C54" s="18"/>
      <c r="D54" s="19"/>
      <c r="E54" s="18"/>
      <c r="F54" s="18"/>
    </row>
    <row r="55" customFormat="false" ht="15" hidden="false" customHeight="false" outlineLevel="0" collapsed="false">
      <c r="A55" s="14"/>
      <c r="B55" s="15"/>
      <c r="C55" s="15"/>
      <c r="D55" s="16"/>
      <c r="E55" s="15"/>
      <c r="F55" s="15"/>
    </row>
    <row r="56" customFormat="false" ht="15" hidden="false" customHeight="false" outlineLevel="0" collapsed="false">
      <c r="A56" s="17"/>
      <c r="B56" s="18"/>
      <c r="C56" s="18"/>
      <c r="D56" s="19"/>
      <c r="E56" s="18"/>
      <c r="F56" s="18"/>
    </row>
    <row r="57" customFormat="false" ht="15" hidden="false" customHeight="false" outlineLevel="0" collapsed="false">
      <c r="A57" s="14"/>
      <c r="B57" s="15"/>
      <c r="C57" s="15"/>
      <c r="D57" s="16"/>
      <c r="E57" s="15"/>
      <c r="F57" s="15"/>
    </row>
    <row r="58" customFormat="false" ht="15" hidden="false" customHeight="false" outlineLevel="0" collapsed="false">
      <c r="A58" s="17"/>
      <c r="B58" s="18"/>
      <c r="C58" s="18"/>
      <c r="D58" s="19"/>
      <c r="E58" s="18"/>
      <c r="F58" s="18"/>
    </row>
    <row r="59" customFormat="false" ht="15" hidden="false" customHeight="false" outlineLevel="0" collapsed="false">
      <c r="A59" s="14"/>
      <c r="B59" s="15"/>
      <c r="C59" s="15"/>
      <c r="D59" s="16"/>
      <c r="E59" s="15"/>
      <c r="F59" s="15"/>
    </row>
    <row r="60" customFormat="false" ht="15" hidden="false" customHeight="false" outlineLevel="0" collapsed="false">
      <c r="A60" s="17"/>
      <c r="B60" s="18"/>
      <c r="C60" s="18"/>
      <c r="D60" s="19"/>
      <c r="E60" s="18"/>
      <c r="F60" s="18"/>
    </row>
    <row r="61" customFormat="false" ht="15" hidden="false" customHeight="false" outlineLevel="0" collapsed="false">
      <c r="A61" s="14"/>
      <c r="B61" s="15"/>
      <c r="C61" s="15"/>
      <c r="D61" s="16"/>
      <c r="E61" s="15"/>
      <c r="F61" s="15"/>
    </row>
    <row r="62" customFormat="false" ht="15" hidden="false" customHeight="false" outlineLevel="0" collapsed="false">
      <c r="A62" s="17"/>
      <c r="B62" s="18"/>
      <c r="C62" s="18"/>
      <c r="D62" s="19"/>
      <c r="E62" s="18"/>
      <c r="F62" s="18"/>
    </row>
    <row r="63" customFormat="false" ht="15" hidden="false" customHeight="false" outlineLevel="0" collapsed="false">
      <c r="A63" s="14"/>
      <c r="B63" s="15"/>
      <c r="C63" s="15"/>
      <c r="D63" s="16"/>
      <c r="E63" s="15"/>
      <c r="F63" s="15"/>
    </row>
    <row r="64" customFormat="false" ht="15" hidden="false" customHeight="false" outlineLevel="0" collapsed="false">
      <c r="A64" s="17"/>
      <c r="B64" s="18"/>
      <c r="C64" s="18"/>
      <c r="D64" s="19"/>
      <c r="E64" s="18"/>
      <c r="F64" s="18"/>
    </row>
    <row r="65" customFormat="false" ht="15" hidden="false" customHeight="false" outlineLevel="0" collapsed="false">
      <c r="A65" s="14"/>
      <c r="B65" s="15"/>
      <c r="C65" s="15"/>
      <c r="D65" s="16"/>
      <c r="E65" s="15"/>
      <c r="F65" s="15"/>
    </row>
    <row r="66" customFormat="false" ht="15" hidden="false" customHeight="false" outlineLevel="0" collapsed="false">
      <c r="A66" s="17"/>
      <c r="B66" s="18"/>
      <c r="C66" s="18"/>
      <c r="D66" s="19"/>
      <c r="E66" s="18"/>
      <c r="F66" s="18"/>
    </row>
    <row r="67" customFormat="false" ht="15" hidden="false" customHeight="false" outlineLevel="0" collapsed="false">
      <c r="A67" s="14"/>
      <c r="B67" s="15"/>
      <c r="C67" s="15"/>
      <c r="D67" s="16"/>
      <c r="E67" s="15"/>
      <c r="F67" s="15"/>
    </row>
    <row r="68" customFormat="false" ht="15" hidden="false" customHeight="false" outlineLevel="0" collapsed="false">
      <c r="A68" s="17"/>
      <c r="B68" s="18"/>
      <c r="C68" s="18"/>
      <c r="D68" s="19"/>
      <c r="E68" s="18"/>
      <c r="F68" s="18"/>
    </row>
    <row r="69" customFormat="false" ht="15" hidden="false" customHeight="false" outlineLevel="0" collapsed="false">
      <c r="A69" s="14"/>
      <c r="B69" s="15"/>
      <c r="C69" s="15"/>
      <c r="D69" s="16"/>
      <c r="E69" s="15"/>
      <c r="F69" s="15"/>
    </row>
    <row r="70" customFormat="false" ht="15" hidden="false" customHeight="false" outlineLevel="0" collapsed="false">
      <c r="A70" s="17"/>
      <c r="B70" s="18"/>
      <c r="C70" s="18"/>
      <c r="D70" s="19"/>
      <c r="E70" s="18"/>
      <c r="F70" s="18"/>
    </row>
    <row r="71" customFormat="false" ht="15" hidden="false" customHeight="false" outlineLevel="0" collapsed="false">
      <c r="A71" s="14"/>
      <c r="B71" s="15"/>
      <c r="C71" s="15"/>
      <c r="D71" s="16"/>
      <c r="E71" s="15"/>
      <c r="F71" s="15"/>
    </row>
    <row r="72" customFormat="false" ht="15" hidden="false" customHeight="false" outlineLevel="0" collapsed="false">
      <c r="A72" s="17"/>
      <c r="B72" s="18"/>
      <c r="C72" s="18"/>
      <c r="D72" s="19"/>
      <c r="E72" s="18"/>
      <c r="F72" s="18"/>
    </row>
    <row r="73" customFormat="false" ht="15" hidden="false" customHeight="false" outlineLevel="0" collapsed="false">
      <c r="A73" s="14"/>
      <c r="B73" s="15"/>
      <c r="C73" s="15"/>
      <c r="D73" s="16"/>
      <c r="E73" s="15"/>
      <c r="F73" s="15"/>
    </row>
    <row r="74" customFormat="false" ht="15" hidden="false" customHeight="false" outlineLevel="0" collapsed="false">
      <c r="A74" s="17"/>
      <c r="B74" s="18"/>
      <c r="C74" s="18"/>
      <c r="D74" s="19"/>
      <c r="E74" s="18"/>
      <c r="F74" s="18"/>
    </row>
    <row r="75" customFormat="false" ht="15" hidden="false" customHeight="false" outlineLevel="0" collapsed="false">
      <c r="A75" s="14"/>
      <c r="B75" s="15"/>
      <c r="C75" s="15"/>
      <c r="D75" s="16"/>
      <c r="E75" s="15"/>
      <c r="F75" s="15"/>
    </row>
    <row r="76" customFormat="false" ht="15" hidden="false" customHeight="false" outlineLevel="0" collapsed="false">
      <c r="A76" s="17"/>
      <c r="B76" s="18"/>
      <c r="C76" s="18"/>
      <c r="D76" s="19"/>
      <c r="E76" s="18"/>
      <c r="F76" s="18"/>
    </row>
    <row r="77" customFormat="false" ht="15" hidden="false" customHeight="false" outlineLevel="0" collapsed="false">
      <c r="A77" s="14"/>
      <c r="B77" s="15"/>
      <c r="C77" s="15"/>
      <c r="D77" s="16"/>
      <c r="E77" s="15"/>
      <c r="F77" s="15"/>
    </row>
    <row r="78" customFormat="false" ht="15" hidden="false" customHeight="false" outlineLevel="0" collapsed="false">
      <c r="A78" s="17"/>
      <c r="B78" s="18"/>
      <c r="C78" s="18"/>
      <c r="D78" s="19"/>
      <c r="E78" s="18"/>
      <c r="F78" s="18"/>
    </row>
    <row r="79" customFormat="false" ht="15" hidden="false" customHeight="false" outlineLevel="0" collapsed="false">
      <c r="A79" s="14"/>
      <c r="B79" s="15"/>
      <c r="C79" s="15"/>
      <c r="D79" s="16"/>
      <c r="E79" s="15"/>
      <c r="F79" s="15"/>
    </row>
    <row r="80" customFormat="false" ht="15" hidden="false" customHeight="false" outlineLevel="0" collapsed="false">
      <c r="A80" s="17"/>
      <c r="B80" s="18"/>
      <c r="C80" s="18"/>
      <c r="D80" s="19"/>
      <c r="E80" s="18"/>
      <c r="F80" s="18"/>
    </row>
    <row r="81" customFormat="false" ht="15" hidden="false" customHeight="false" outlineLevel="0" collapsed="false">
      <c r="A81" s="14"/>
      <c r="B81" s="15"/>
      <c r="C81" s="15"/>
      <c r="D81" s="16"/>
      <c r="E81" s="15"/>
      <c r="F81" s="15"/>
    </row>
    <row r="82" customFormat="false" ht="15" hidden="false" customHeight="false" outlineLevel="0" collapsed="false">
      <c r="A82" s="17"/>
      <c r="B82" s="18"/>
      <c r="C82" s="18"/>
      <c r="D82" s="19"/>
      <c r="E82" s="18"/>
      <c r="F82" s="18"/>
    </row>
    <row r="83" customFormat="false" ht="15" hidden="false" customHeight="false" outlineLevel="0" collapsed="false">
      <c r="A83" s="14"/>
      <c r="B83" s="15"/>
      <c r="C83" s="15"/>
      <c r="D83" s="16"/>
      <c r="E83" s="15"/>
      <c r="F83" s="15"/>
    </row>
    <row r="84" customFormat="false" ht="15" hidden="false" customHeight="false" outlineLevel="0" collapsed="false">
      <c r="A84" s="17"/>
      <c r="B84" s="18"/>
      <c r="C84" s="18"/>
      <c r="D84" s="19"/>
      <c r="E84" s="18"/>
      <c r="F84" s="18"/>
    </row>
    <row r="85" customFormat="false" ht="15" hidden="false" customHeight="false" outlineLevel="0" collapsed="false">
      <c r="A85" s="14"/>
      <c r="B85" s="15"/>
      <c r="C85" s="15"/>
      <c r="D85" s="16"/>
      <c r="E85" s="15"/>
      <c r="F85" s="15"/>
    </row>
    <row r="86" customFormat="false" ht="15" hidden="false" customHeight="false" outlineLevel="0" collapsed="false">
      <c r="A86" s="17"/>
      <c r="B86" s="18"/>
      <c r="C86" s="18"/>
      <c r="D86" s="19"/>
      <c r="E86" s="18"/>
      <c r="F86" s="18"/>
    </row>
    <row r="87" customFormat="false" ht="15" hidden="false" customHeight="false" outlineLevel="0" collapsed="false">
      <c r="A87" s="14"/>
      <c r="B87" s="15"/>
      <c r="C87" s="15"/>
      <c r="D87" s="16"/>
      <c r="E87" s="15"/>
      <c r="F87" s="15"/>
    </row>
    <row r="88" customFormat="false" ht="15" hidden="false" customHeight="false" outlineLevel="0" collapsed="false">
      <c r="A88" s="17"/>
      <c r="B88" s="18"/>
      <c r="C88" s="18"/>
      <c r="D88" s="19"/>
      <c r="E88" s="18"/>
      <c r="F88" s="18"/>
    </row>
    <row r="89" customFormat="false" ht="15" hidden="false" customHeight="false" outlineLevel="0" collapsed="false">
      <c r="A89" s="14"/>
      <c r="B89" s="15"/>
      <c r="C89" s="15"/>
      <c r="D89" s="16"/>
      <c r="E89" s="15"/>
      <c r="F89" s="15"/>
    </row>
    <row r="90" customFormat="false" ht="15" hidden="false" customHeight="false" outlineLevel="0" collapsed="false">
      <c r="A90" s="17"/>
      <c r="B90" s="18"/>
      <c r="C90" s="18"/>
      <c r="D90" s="19"/>
      <c r="E90" s="18"/>
      <c r="F90" s="18"/>
    </row>
    <row r="91" customFormat="false" ht="15" hidden="false" customHeight="false" outlineLevel="0" collapsed="false">
      <c r="A91" s="14"/>
      <c r="B91" s="15"/>
      <c r="C91" s="15"/>
      <c r="D91" s="16"/>
      <c r="E91" s="15"/>
      <c r="F91" s="15"/>
    </row>
    <row r="92" customFormat="false" ht="15" hidden="false" customHeight="false" outlineLevel="0" collapsed="false">
      <c r="A92" s="17"/>
      <c r="B92" s="18"/>
      <c r="C92" s="18"/>
      <c r="D92" s="19"/>
      <c r="E92" s="18"/>
      <c r="F92" s="18"/>
    </row>
    <row r="93" customFormat="false" ht="15" hidden="false" customHeight="false" outlineLevel="0" collapsed="false">
      <c r="A93" s="14"/>
      <c r="B93" s="15"/>
      <c r="C93" s="15"/>
      <c r="D93" s="16"/>
      <c r="E93" s="15"/>
      <c r="F93" s="15"/>
    </row>
    <row r="94" customFormat="false" ht="15" hidden="false" customHeight="false" outlineLevel="0" collapsed="false">
      <c r="A94" s="17"/>
      <c r="B94" s="18"/>
      <c r="C94" s="18"/>
      <c r="D94" s="19"/>
      <c r="E94" s="18"/>
      <c r="F94" s="18"/>
    </row>
    <row r="95" customFormat="false" ht="15" hidden="false" customHeight="false" outlineLevel="0" collapsed="false">
      <c r="A95" s="14"/>
      <c r="B95" s="15"/>
      <c r="C95" s="15"/>
      <c r="D95" s="16"/>
      <c r="E95" s="15"/>
      <c r="F95" s="15"/>
    </row>
    <row r="96" customFormat="false" ht="15" hidden="false" customHeight="false" outlineLevel="0" collapsed="false">
      <c r="A96" s="17"/>
      <c r="B96" s="18"/>
      <c r="C96" s="18"/>
      <c r="D96" s="19"/>
      <c r="E96" s="18"/>
      <c r="F96" s="18"/>
    </row>
    <row r="97" customFormat="false" ht="15" hidden="false" customHeight="false" outlineLevel="0" collapsed="false">
      <c r="A97" s="14"/>
      <c r="B97" s="15"/>
      <c r="C97" s="15"/>
      <c r="D97" s="16"/>
      <c r="E97" s="15"/>
      <c r="F97" s="15"/>
    </row>
    <row r="98" customFormat="false" ht="15" hidden="false" customHeight="false" outlineLevel="0" collapsed="false">
      <c r="A98" s="17"/>
      <c r="B98" s="18"/>
      <c r="C98" s="18"/>
      <c r="D98" s="19"/>
      <c r="E98" s="18"/>
      <c r="F98" s="18"/>
    </row>
    <row r="99" customFormat="false" ht="15" hidden="false" customHeight="false" outlineLevel="0" collapsed="false">
      <c r="A99" s="14"/>
      <c r="B99" s="15"/>
      <c r="C99" s="15"/>
      <c r="D99" s="16"/>
      <c r="E99" s="15"/>
      <c r="F99" s="15"/>
    </row>
    <row r="100" customFormat="false" ht="15" hidden="false" customHeight="false" outlineLevel="0" collapsed="false">
      <c r="A100" s="17"/>
      <c r="B100" s="18"/>
      <c r="C100" s="18"/>
      <c r="D100" s="19"/>
      <c r="E100" s="18"/>
      <c r="F100" s="18"/>
    </row>
    <row r="101" customFormat="false" ht="15" hidden="false" customHeight="false" outlineLevel="0" collapsed="false">
      <c r="A101" s="14"/>
      <c r="B101" s="15"/>
      <c r="C101" s="15"/>
      <c r="D101" s="16"/>
      <c r="E101" s="15"/>
      <c r="F101" s="15"/>
    </row>
    <row r="102" customFormat="false" ht="15" hidden="false" customHeight="false" outlineLevel="0" collapsed="false">
      <c r="A102" s="17"/>
      <c r="B102" s="18"/>
      <c r="C102" s="18"/>
      <c r="D102" s="19"/>
      <c r="E102" s="18"/>
      <c r="F102" s="18"/>
    </row>
    <row r="103" customFormat="false" ht="15" hidden="false" customHeight="false" outlineLevel="0" collapsed="false">
      <c r="A103" s="14"/>
      <c r="B103" s="15"/>
      <c r="C103" s="15"/>
      <c r="D103" s="16"/>
      <c r="E103" s="15"/>
      <c r="F103" s="15"/>
    </row>
    <row r="104" customFormat="false" ht="15" hidden="false" customHeight="false" outlineLevel="0" collapsed="false">
      <c r="A104" s="17"/>
      <c r="B104" s="18"/>
      <c r="C104" s="18"/>
      <c r="D104" s="19"/>
      <c r="E104" s="18"/>
      <c r="F104" s="18"/>
    </row>
    <row r="105" customFormat="false" ht="15" hidden="false" customHeight="false" outlineLevel="0" collapsed="false">
      <c r="A105" s="14"/>
      <c r="B105" s="15"/>
      <c r="C105" s="15"/>
      <c r="D105" s="16"/>
      <c r="E105" s="15"/>
      <c r="F105" s="15"/>
    </row>
    <row r="106" customFormat="false" ht="15" hidden="false" customHeight="false" outlineLevel="0" collapsed="false">
      <c r="A106" s="17"/>
      <c r="B106" s="18"/>
      <c r="C106" s="18"/>
      <c r="D106" s="19"/>
      <c r="E106" s="18"/>
      <c r="F106" s="18"/>
    </row>
    <row r="107" customFormat="false" ht="15" hidden="false" customHeight="false" outlineLevel="0" collapsed="false">
      <c r="A107" s="14"/>
      <c r="B107" s="15"/>
      <c r="C107" s="15"/>
      <c r="D107" s="16"/>
      <c r="E107" s="15"/>
      <c r="F107" s="15"/>
    </row>
    <row r="108" customFormat="false" ht="15" hidden="false" customHeight="false" outlineLevel="0" collapsed="false">
      <c r="A108" s="17"/>
      <c r="B108" s="18"/>
      <c r="C108" s="18"/>
      <c r="D108" s="19"/>
      <c r="E108" s="18"/>
      <c r="F108" s="18"/>
    </row>
    <row r="109" customFormat="false" ht="15" hidden="false" customHeight="false" outlineLevel="0" collapsed="false">
      <c r="A109" s="14"/>
      <c r="B109" s="15"/>
      <c r="C109" s="15"/>
      <c r="D109" s="16"/>
      <c r="E109" s="15"/>
      <c r="F109" s="15"/>
    </row>
    <row r="110" customFormat="false" ht="15" hidden="false" customHeight="false" outlineLevel="0" collapsed="false">
      <c r="A110" s="17"/>
      <c r="B110" s="18"/>
      <c r="C110" s="18"/>
      <c r="D110" s="19"/>
      <c r="E110" s="18"/>
      <c r="F110" s="18"/>
    </row>
    <row r="111" customFormat="false" ht="15" hidden="false" customHeight="false" outlineLevel="0" collapsed="false">
      <c r="A111" s="14"/>
      <c r="B111" s="15"/>
      <c r="C111" s="15"/>
      <c r="D111" s="16"/>
      <c r="E111" s="15"/>
      <c r="F111" s="15"/>
    </row>
    <row r="112" customFormat="false" ht="15" hidden="false" customHeight="false" outlineLevel="0" collapsed="false">
      <c r="A112" s="17"/>
      <c r="B112" s="18"/>
      <c r="C112" s="18"/>
      <c r="D112" s="19"/>
      <c r="E112" s="18"/>
      <c r="F112" s="18"/>
    </row>
    <row r="113" customFormat="false" ht="15" hidden="false" customHeight="false" outlineLevel="0" collapsed="false">
      <c r="A113" s="14"/>
      <c r="B113" s="15"/>
      <c r="C113" s="15"/>
      <c r="D113" s="16"/>
      <c r="E113" s="15"/>
      <c r="F113" s="15"/>
    </row>
    <row r="114" customFormat="false" ht="15" hidden="false" customHeight="false" outlineLevel="0" collapsed="false">
      <c r="A114" s="17"/>
      <c r="B114" s="18"/>
      <c r="C114" s="18"/>
      <c r="D114" s="19"/>
      <c r="E114" s="18"/>
      <c r="F114" s="18"/>
    </row>
    <row r="115" customFormat="false" ht="15" hidden="false" customHeight="false" outlineLevel="0" collapsed="false">
      <c r="A115" s="14"/>
      <c r="B115" s="15"/>
      <c r="C115" s="15"/>
      <c r="D115" s="16"/>
      <c r="E115" s="15"/>
      <c r="F115" s="15"/>
    </row>
    <row r="116" customFormat="false" ht="15" hidden="false" customHeight="false" outlineLevel="0" collapsed="false">
      <c r="A116" s="17"/>
      <c r="B116" s="18"/>
      <c r="C116" s="18"/>
      <c r="D116" s="19"/>
      <c r="E116" s="18"/>
      <c r="F116" s="18"/>
    </row>
    <row r="117" customFormat="false" ht="15" hidden="false" customHeight="false" outlineLevel="0" collapsed="false">
      <c r="A117" s="14"/>
      <c r="B117" s="15"/>
      <c r="C117" s="15"/>
      <c r="D117" s="16"/>
      <c r="E117" s="15"/>
      <c r="F117" s="15"/>
    </row>
    <row r="118" customFormat="false" ht="15" hidden="false" customHeight="false" outlineLevel="0" collapsed="false">
      <c r="A118" s="17"/>
      <c r="B118" s="18"/>
      <c r="C118" s="18"/>
      <c r="D118" s="19"/>
      <c r="E118" s="18"/>
      <c r="F118" s="18"/>
    </row>
    <row r="119" customFormat="false" ht="15" hidden="false" customHeight="false" outlineLevel="0" collapsed="false">
      <c r="A119" s="14"/>
      <c r="B119" s="15"/>
      <c r="C119" s="15"/>
      <c r="D119" s="16"/>
      <c r="E119" s="15"/>
      <c r="F119" s="15"/>
    </row>
    <row r="120" customFormat="false" ht="15" hidden="false" customHeight="false" outlineLevel="0" collapsed="false">
      <c r="A120" s="17"/>
      <c r="B120" s="18"/>
      <c r="C120" s="18"/>
      <c r="D120" s="19"/>
      <c r="E120" s="18"/>
      <c r="F120" s="18"/>
    </row>
    <row r="121" customFormat="false" ht="15" hidden="false" customHeight="false" outlineLevel="0" collapsed="false">
      <c r="A121" s="14"/>
      <c r="B121" s="15"/>
      <c r="C121" s="15"/>
      <c r="D121" s="16"/>
      <c r="E121" s="15"/>
      <c r="F121" s="15"/>
    </row>
    <row r="122" customFormat="false" ht="15" hidden="false" customHeight="false" outlineLevel="0" collapsed="false">
      <c r="A122" s="17"/>
      <c r="B122" s="18"/>
      <c r="C122" s="18"/>
      <c r="D122" s="19"/>
      <c r="E122" s="18"/>
      <c r="F122" s="18"/>
    </row>
    <row r="123" customFormat="false" ht="15" hidden="false" customHeight="false" outlineLevel="0" collapsed="false">
      <c r="A123" s="14"/>
      <c r="B123" s="15"/>
      <c r="C123" s="15"/>
      <c r="D123" s="16"/>
      <c r="E123" s="15"/>
      <c r="F123" s="15"/>
    </row>
    <row r="124" customFormat="false" ht="15" hidden="false" customHeight="false" outlineLevel="0" collapsed="false">
      <c r="A124" s="17"/>
      <c r="B124" s="18"/>
      <c r="C124" s="18"/>
      <c r="D124" s="19"/>
      <c r="E124" s="18"/>
      <c r="F124" s="18"/>
    </row>
    <row r="125" customFormat="false" ht="15" hidden="false" customHeight="false" outlineLevel="0" collapsed="false">
      <c r="A125" s="14"/>
      <c r="B125" s="15"/>
      <c r="C125" s="15"/>
      <c r="D125" s="16"/>
      <c r="E125" s="15"/>
      <c r="F125" s="15"/>
    </row>
    <row r="126" customFormat="false" ht="15" hidden="false" customHeight="false" outlineLevel="0" collapsed="false">
      <c r="A126" s="17"/>
      <c r="B126" s="18"/>
      <c r="C126" s="18"/>
      <c r="D126" s="19"/>
      <c r="E126" s="18"/>
      <c r="F126" s="18"/>
    </row>
    <row r="127" customFormat="false" ht="15" hidden="false" customHeight="false" outlineLevel="0" collapsed="false">
      <c r="A127" s="14"/>
      <c r="B127" s="15"/>
      <c r="C127" s="15"/>
      <c r="D127" s="16"/>
      <c r="E127" s="15"/>
      <c r="F127" s="15"/>
    </row>
    <row r="128" customFormat="false" ht="15" hidden="false" customHeight="false" outlineLevel="0" collapsed="false">
      <c r="A128" s="17"/>
      <c r="B128" s="18"/>
      <c r="C128" s="18"/>
      <c r="D128" s="19"/>
      <c r="E128" s="18"/>
      <c r="F128" s="18"/>
    </row>
    <row r="129" customFormat="false" ht="15" hidden="false" customHeight="false" outlineLevel="0" collapsed="false">
      <c r="A129" s="14"/>
      <c r="B129" s="15"/>
      <c r="C129" s="15"/>
      <c r="D129" s="16"/>
      <c r="E129" s="15"/>
      <c r="F129" s="15"/>
    </row>
    <row r="130" customFormat="false" ht="15" hidden="false" customHeight="false" outlineLevel="0" collapsed="false">
      <c r="A130" s="17"/>
      <c r="B130" s="18"/>
      <c r="C130" s="18"/>
      <c r="D130" s="19"/>
      <c r="E130" s="18"/>
      <c r="F130" s="18"/>
    </row>
    <row r="131" customFormat="false" ht="15" hidden="false" customHeight="false" outlineLevel="0" collapsed="false">
      <c r="A131" s="14"/>
      <c r="B131" s="15"/>
      <c r="C131" s="15"/>
      <c r="D131" s="16"/>
      <c r="E131" s="15"/>
      <c r="F131" s="15"/>
    </row>
    <row r="132" customFormat="false" ht="15" hidden="false" customHeight="false" outlineLevel="0" collapsed="false">
      <c r="A132" s="17"/>
      <c r="B132" s="18"/>
      <c r="C132" s="18"/>
      <c r="D132" s="19"/>
      <c r="E132" s="18"/>
      <c r="F132" s="18"/>
    </row>
    <row r="133" customFormat="false" ht="15" hidden="false" customHeight="false" outlineLevel="0" collapsed="false">
      <c r="A133" s="14"/>
      <c r="B133" s="15"/>
      <c r="C133" s="15"/>
      <c r="D133" s="16"/>
      <c r="E133" s="15"/>
      <c r="F133" s="15"/>
    </row>
    <row r="134" customFormat="false" ht="15" hidden="false" customHeight="false" outlineLevel="0" collapsed="false">
      <c r="A134" s="17"/>
      <c r="B134" s="18"/>
      <c r="C134" s="18"/>
      <c r="D134" s="19"/>
      <c r="E134" s="18"/>
      <c r="F134" s="18"/>
    </row>
    <row r="135" customFormat="false" ht="15" hidden="false" customHeight="false" outlineLevel="0" collapsed="false">
      <c r="A135" s="14"/>
      <c r="B135" s="15"/>
      <c r="C135" s="15"/>
      <c r="D135" s="16"/>
      <c r="E135" s="15"/>
      <c r="F135" s="15"/>
    </row>
    <row r="136" customFormat="false" ht="15" hidden="false" customHeight="false" outlineLevel="0" collapsed="false">
      <c r="A136" s="17"/>
      <c r="B136" s="18"/>
      <c r="C136" s="18"/>
      <c r="D136" s="19"/>
      <c r="E136" s="18"/>
      <c r="F136" s="18"/>
    </row>
    <row r="137" customFormat="false" ht="15" hidden="false" customHeight="false" outlineLevel="0" collapsed="false">
      <c r="A137" s="14"/>
      <c r="B137" s="15"/>
      <c r="C137" s="15"/>
      <c r="D137" s="16"/>
      <c r="E137" s="15"/>
      <c r="F137" s="15"/>
    </row>
    <row r="138" customFormat="false" ht="15" hidden="false" customHeight="false" outlineLevel="0" collapsed="false">
      <c r="A138" s="17"/>
      <c r="B138" s="18"/>
      <c r="C138" s="18"/>
      <c r="D138" s="19"/>
      <c r="E138" s="18"/>
      <c r="F138" s="18"/>
    </row>
    <row r="139" customFormat="false" ht="15" hidden="false" customHeight="false" outlineLevel="0" collapsed="false">
      <c r="A139" s="14"/>
      <c r="B139" s="15"/>
      <c r="C139" s="15"/>
      <c r="D139" s="16"/>
      <c r="E139" s="15"/>
      <c r="F139" s="15"/>
    </row>
    <row r="140" customFormat="false" ht="15" hidden="false" customHeight="false" outlineLevel="0" collapsed="false">
      <c r="A140" s="17"/>
      <c r="B140" s="18"/>
      <c r="C140" s="18"/>
      <c r="D140" s="19"/>
      <c r="E140" s="18"/>
      <c r="F140" s="18"/>
    </row>
    <row r="141" customFormat="false" ht="15" hidden="false" customHeight="false" outlineLevel="0" collapsed="false">
      <c r="A141" s="14"/>
      <c r="B141" s="15"/>
      <c r="C141" s="15"/>
      <c r="D141" s="16"/>
      <c r="E141" s="15"/>
      <c r="F141" s="15"/>
    </row>
    <row r="142" customFormat="false" ht="15" hidden="false" customHeight="false" outlineLevel="0" collapsed="false">
      <c r="A142" s="17"/>
      <c r="B142" s="18"/>
      <c r="C142" s="18"/>
      <c r="D142" s="19"/>
      <c r="E142" s="18"/>
      <c r="F142" s="18"/>
    </row>
    <row r="143" customFormat="false" ht="15" hidden="false" customHeight="false" outlineLevel="0" collapsed="false">
      <c r="A143" s="14"/>
      <c r="B143" s="15"/>
      <c r="C143" s="15"/>
      <c r="D143" s="16"/>
      <c r="E143" s="15"/>
      <c r="F143" s="15"/>
    </row>
    <row r="144" customFormat="false" ht="15" hidden="false" customHeight="false" outlineLevel="0" collapsed="false">
      <c r="A144" s="17"/>
      <c r="B144" s="18"/>
      <c r="C144" s="18"/>
      <c r="D144" s="19"/>
      <c r="E144" s="18"/>
      <c r="F144" s="18"/>
    </row>
    <row r="145" customFormat="false" ht="15" hidden="false" customHeight="false" outlineLevel="0" collapsed="false">
      <c r="A145" s="14"/>
      <c r="B145" s="15"/>
      <c r="C145" s="15"/>
      <c r="D145" s="16"/>
      <c r="E145" s="15"/>
      <c r="F145" s="15"/>
    </row>
    <row r="146" customFormat="false" ht="15" hidden="false" customHeight="false" outlineLevel="0" collapsed="false">
      <c r="A146" s="17"/>
      <c r="B146" s="18"/>
      <c r="C146" s="18"/>
      <c r="D146" s="19"/>
      <c r="E146" s="18"/>
      <c r="F146" s="18"/>
    </row>
    <row r="147" customFormat="false" ht="15" hidden="false" customHeight="false" outlineLevel="0" collapsed="false">
      <c r="A147" s="14"/>
      <c r="B147" s="15"/>
      <c r="C147" s="15"/>
      <c r="D147" s="16"/>
      <c r="E147" s="15"/>
      <c r="F147" s="15"/>
    </row>
    <row r="148" customFormat="false" ht="15" hidden="false" customHeight="false" outlineLevel="0" collapsed="false">
      <c r="A148" s="17"/>
      <c r="B148" s="18"/>
      <c r="C148" s="18"/>
      <c r="D148" s="19"/>
      <c r="E148" s="18"/>
      <c r="F148" s="18"/>
    </row>
    <row r="149" customFormat="false" ht="15" hidden="false" customHeight="false" outlineLevel="0" collapsed="false">
      <c r="A149" s="14"/>
      <c r="B149" s="15"/>
      <c r="C149" s="15"/>
      <c r="D149" s="16"/>
      <c r="E149" s="15"/>
      <c r="F149" s="15"/>
    </row>
    <row r="150" customFormat="false" ht="15" hidden="false" customHeight="false" outlineLevel="0" collapsed="false">
      <c r="A150" s="17"/>
      <c r="B150" s="18"/>
      <c r="C150" s="18"/>
      <c r="D150" s="19"/>
      <c r="E150" s="18"/>
      <c r="F150" s="18"/>
    </row>
    <row r="151" customFormat="false" ht="15" hidden="false" customHeight="false" outlineLevel="0" collapsed="false">
      <c r="A151" s="14"/>
      <c r="B151" s="15"/>
      <c r="C151" s="15"/>
      <c r="D151" s="16"/>
      <c r="E151" s="15"/>
      <c r="F151" s="15"/>
    </row>
    <row r="152" customFormat="false" ht="15" hidden="false" customHeight="false" outlineLevel="0" collapsed="false">
      <c r="A152" s="17"/>
      <c r="B152" s="18"/>
      <c r="C152" s="18"/>
      <c r="D152" s="19"/>
      <c r="E152" s="18"/>
      <c r="F152" s="18"/>
    </row>
    <row r="153" customFormat="false" ht="15" hidden="false" customHeight="false" outlineLevel="0" collapsed="false">
      <c r="A153" s="14"/>
      <c r="B153" s="15"/>
      <c r="C153" s="15"/>
      <c r="D153" s="16"/>
      <c r="E153" s="15"/>
      <c r="F153" s="15"/>
    </row>
    <row r="154" customFormat="false" ht="15" hidden="false" customHeight="false" outlineLevel="0" collapsed="false">
      <c r="A154" s="17"/>
      <c r="B154" s="18"/>
      <c r="C154" s="18"/>
      <c r="D154" s="19"/>
      <c r="E154" s="18"/>
      <c r="F154" s="18"/>
    </row>
    <row r="155" customFormat="false" ht="15" hidden="false" customHeight="false" outlineLevel="0" collapsed="false">
      <c r="A155" s="14"/>
      <c r="B155" s="15"/>
      <c r="C155" s="15"/>
      <c r="D155" s="16"/>
      <c r="E155" s="15"/>
      <c r="F155" s="15"/>
    </row>
    <row r="156" customFormat="false" ht="15" hidden="false" customHeight="false" outlineLevel="0" collapsed="false">
      <c r="A156" s="17"/>
      <c r="B156" s="18"/>
      <c r="C156" s="18"/>
      <c r="D156" s="19"/>
      <c r="E156" s="18"/>
      <c r="F156" s="18"/>
    </row>
    <row r="157" customFormat="false" ht="15" hidden="false" customHeight="false" outlineLevel="0" collapsed="false">
      <c r="A157" s="14"/>
      <c r="B157" s="15"/>
      <c r="C157" s="15"/>
      <c r="D157" s="16"/>
      <c r="E157" s="15"/>
      <c r="F157" s="15"/>
    </row>
    <row r="158" customFormat="false" ht="15" hidden="false" customHeight="false" outlineLevel="0" collapsed="false">
      <c r="A158" s="17"/>
      <c r="B158" s="18"/>
      <c r="C158" s="18"/>
      <c r="D158" s="19"/>
      <c r="E158" s="18"/>
      <c r="F158" s="18"/>
    </row>
    <row r="159" customFormat="false" ht="15" hidden="false" customHeight="false" outlineLevel="0" collapsed="false">
      <c r="A159" s="14"/>
      <c r="B159" s="15"/>
      <c r="C159" s="15"/>
      <c r="D159" s="16"/>
      <c r="E159" s="15"/>
      <c r="F159" s="15"/>
    </row>
    <row r="160" customFormat="false" ht="15" hidden="false" customHeight="false" outlineLevel="0" collapsed="false">
      <c r="A160" s="17"/>
      <c r="B160" s="18"/>
      <c r="C160" s="18"/>
      <c r="D160" s="19"/>
      <c r="E160" s="18"/>
      <c r="F160" s="18"/>
    </row>
    <row r="161" customFormat="false" ht="15" hidden="false" customHeight="false" outlineLevel="0" collapsed="false">
      <c r="A161" s="14"/>
      <c r="B161" s="15"/>
      <c r="C161" s="15"/>
      <c r="D161" s="16"/>
      <c r="E161" s="15"/>
      <c r="F161" s="15"/>
    </row>
    <row r="162" customFormat="false" ht="15" hidden="false" customHeight="false" outlineLevel="0" collapsed="false">
      <c r="A162" s="17"/>
      <c r="B162" s="18"/>
      <c r="C162" s="18"/>
      <c r="D162" s="19"/>
      <c r="E162" s="18"/>
      <c r="F162" s="18"/>
    </row>
    <row r="163" customFormat="false" ht="15" hidden="false" customHeight="false" outlineLevel="0" collapsed="false">
      <c r="A163" s="14"/>
      <c r="B163" s="15"/>
      <c r="C163" s="15"/>
      <c r="D163" s="16"/>
      <c r="E163" s="15"/>
      <c r="F163" s="15"/>
    </row>
    <row r="164" customFormat="false" ht="15" hidden="false" customHeight="false" outlineLevel="0" collapsed="false">
      <c r="A164" s="17"/>
      <c r="B164" s="18"/>
      <c r="C164" s="18"/>
      <c r="D164" s="19"/>
      <c r="E164" s="18"/>
      <c r="F164" s="18"/>
    </row>
    <row r="165" customFormat="false" ht="15" hidden="false" customHeight="false" outlineLevel="0" collapsed="false">
      <c r="A165" s="14"/>
      <c r="B165" s="15"/>
      <c r="C165" s="15"/>
      <c r="D165" s="16"/>
      <c r="E165" s="15"/>
      <c r="F165" s="15"/>
    </row>
    <row r="166" customFormat="false" ht="15" hidden="false" customHeight="false" outlineLevel="0" collapsed="false">
      <c r="A166" s="17"/>
      <c r="B166" s="18"/>
      <c r="C166" s="18"/>
      <c r="D166" s="19"/>
      <c r="E166" s="18"/>
      <c r="F166" s="18"/>
    </row>
    <row r="167" customFormat="false" ht="15" hidden="false" customHeight="false" outlineLevel="0" collapsed="false">
      <c r="A167" s="14"/>
      <c r="B167" s="15"/>
      <c r="C167" s="15"/>
      <c r="D167" s="16"/>
      <c r="E167" s="15"/>
      <c r="F167" s="15"/>
    </row>
    <row r="168" customFormat="false" ht="15" hidden="false" customHeight="false" outlineLevel="0" collapsed="false">
      <c r="A168" s="17"/>
      <c r="B168" s="18"/>
      <c r="C168" s="18"/>
      <c r="D168" s="19"/>
      <c r="E168" s="18"/>
      <c r="F168" s="18"/>
    </row>
    <row r="169" customFormat="false" ht="15" hidden="false" customHeight="false" outlineLevel="0" collapsed="false">
      <c r="A169" s="14"/>
      <c r="B169" s="15"/>
      <c r="C169" s="15"/>
      <c r="D169" s="16"/>
      <c r="E169" s="15"/>
      <c r="F169" s="15"/>
    </row>
    <row r="170" customFormat="false" ht="15" hidden="false" customHeight="false" outlineLevel="0" collapsed="false">
      <c r="A170" s="17"/>
      <c r="B170" s="18"/>
      <c r="C170" s="18"/>
      <c r="D170" s="19"/>
      <c r="E170" s="18"/>
      <c r="F170" s="18"/>
    </row>
    <row r="171" customFormat="false" ht="15" hidden="false" customHeight="false" outlineLevel="0" collapsed="false">
      <c r="A171" s="14"/>
      <c r="B171" s="15"/>
      <c r="C171" s="15"/>
      <c r="D171" s="16"/>
      <c r="E171" s="15"/>
      <c r="F171" s="15"/>
    </row>
    <row r="172" customFormat="false" ht="15" hidden="false" customHeight="false" outlineLevel="0" collapsed="false">
      <c r="A172" s="17"/>
      <c r="B172" s="18"/>
      <c r="C172" s="18"/>
      <c r="D172" s="19"/>
      <c r="E172" s="18"/>
      <c r="F172" s="18"/>
    </row>
    <row r="173" customFormat="false" ht="15" hidden="false" customHeight="false" outlineLevel="0" collapsed="false">
      <c r="A173" s="14"/>
      <c r="B173" s="15"/>
      <c r="C173" s="15"/>
      <c r="D173" s="16"/>
      <c r="E173" s="15"/>
      <c r="F173" s="15"/>
    </row>
    <row r="174" customFormat="false" ht="15" hidden="false" customHeight="false" outlineLevel="0" collapsed="false">
      <c r="A174" s="17"/>
      <c r="B174" s="18"/>
      <c r="C174" s="18"/>
      <c r="D174" s="19"/>
      <c r="E174" s="18"/>
      <c r="F174" s="18"/>
    </row>
    <row r="175" customFormat="false" ht="15" hidden="false" customHeight="false" outlineLevel="0" collapsed="false">
      <c r="A175" s="14"/>
      <c r="B175" s="15"/>
      <c r="C175" s="15"/>
      <c r="D175" s="16"/>
      <c r="E175" s="15"/>
      <c r="F175" s="15"/>
    </row>
    <row r="176" customFormat="false" ht="15" hidden="false" customHeight="false" outlineLevel="0" collapsed="false">
      <c r="A176" s="17"/>
      <c r="B176" s="18"/>
      <c r="C176" s="18"/>
      <c r="D176" s="19"/>
      <c r="E176" s="18"/>
      <c r="F176" s="18"/>
    </row>
    <row r="177" customFormat="false" ht="15" hidden="false" customHeight="false" outlineLevel="0" collapsed="false">
      <c r="A177" s="14"/>
      <c r="B177" s="15"/>
      <c r="C177" s="15"/>
      <c r="D177" s="16"/>
      <c r="E177" s="15"/>
      <c r="F177" s="15"/>
    </row>
    <row r="178" customFormat="false" ht="15" hidden="false" customHeight="false" outlineLevel="0" collapsed="false">
      <c r="A178" s="17"/>
      <c r="B178" s="18"/>
      <c r="C178" s="18"/>
      <c r="D178" s="19"/>
      <c r="E178" s="18"/>
      <c r="F178" s="18"/>
    </row>
    <row r="179" customFormat="false" ht="15" hidden="false" customHeight="false" outlineLevel="0" collapsed="false">
      <c r="A179" s="14"/>
      <c r="B179" s="15"/>
      <c r="C179" s="15"/>
      <c r="D179" s="16"/>
      <c r="E179" s="15"/>
      <c r="F179" s="15"/>
    </row>
    <row r="180" customFormat="false" ht="15" hidden="false" customHeight="false" outlineLevel="0" collapsed="false">
      <c r="A180" s="17"/>
      <c r="B180" s="18"/>
      <c r="C180" s="18"/>
      <c r="D180" s="19"/>
      <c r="E180" s="18"/>
      <c r="F180" s="18"/>
    </row>
    <row r="181" customFormat="false" ht="15" hidden="false" customHeight="false" outlineLevel="0" collapsed="false">
      <c r="A181" s="14"/>
      <c r="B181" s="15"/>
      <c r="C181" s="15"/>
      <c r="D181" s="16"/>
      <c r="E181" s="15"/>
      <c r="F181" s="15"/>
    </row>
    <row r="182" customFormat="false" ht="15" hidden="false" customHeight="false" outlineLevel="0" collapsed="false">
      <c r="A182" s="17"/>
      <c r="B182" s="18"/>
      <c r="C182" s="18"/>
      <c r="D182" s="19"/>
      <c r="E182" s="18"/>
      <c r="F182" s="18"/>
    </row>
    <row r="183" customFormat="false" ht="15" hidden="false" customHeight="false" outlineLevel="0" collapsed="false">
      <c r="A183" s="14"/>
      <c r="B183" s="15"/>
      <c r="C183" s="15"/>
      <c r="D183" s="16"/>
      <c r="E183" s="15"/>
      <c r="F183" s="15"/>
    </row>
    <row r="184" customFormat="false" ht="15" hidden="false" customHeight="false" outlineLevel="0" collapsed="false">
      <c r="A184" s="17"/>
      <c r="B184" s="18"/>
      <c r="C184" s="18"/>
      <c r="D184" s="19"/>
      <c r="E184" s="18"/>
      <c r="F184" s="18"/>
    </row>
    <row r="185" customFormat="false" ht="15" hidden="false" customHeight="false" outlineLevel="0" collapsed="false">
      <c r="A185" s="14"/>
      <c r="B185" s="15"/>
      <c r="C185" s="15"/>
      <c r="D185" s="16"/>
      <c r="E185" s="15"/>
      <c r="F185" s="15"/>
    </row>
    <row r="186" customFormat="false" ht="15" hidden="false" customHeight="false" outlineLevel="0" collapsed="false">
      <c r="A186" s="17"/>
      <c r="B186" s="18"/>
      <c r="C186" s="18"/>
      <c r="D186" s="19"/>
      <c r="E186" s="18"/>
      <c r="F186" s="18"/>
    </row>
    <row r="187" customFormat="false" ht="15" hidden="false" customHeight="false" outlineLevel="0" collapsed="false">
      <c r="A187" s="14"/>
      <c r="B187" s="15"/>
      <c r="C187" s="15"/>
      <c r="D187" s="16"/>
      <c r="E187" s="15"/>
      <c r="F187" s="15"/>
    </row>
    <row r="188" customFormat="false" ht="15" hidden="false" customHeight="false" outlineLevel="0" collapsed="false">
      <c r="A188" s="17"/>
      <c r="B188" s="18"/>
      <c r="C188" s="18"/>
      <c r="D188" s="19"/>
      <c r="E188" s="18"/>
      <c r="F188" s="18"/>
    </row>
    <row r="189" customFormat="false" ht="15" hidden="false" customHeight="false" outlineLevel="0" collapsed="false">
      <c r="A189" s="14"/>
      <c r="B189" s="15"/>
      <c r="C189" s="15"/>
      <c r="D189" s="16"/>
      <c r="E189" s="15"/>
      <c r="F189" s="15"/>
    </row>
    <row r="190" customFormat="false" ht="15" hidden="false" customHeight="false" outlineLevel="0" collapsed="false">
      <c r="A190" s="17"/>
      <c r="B190" s="18"/>
      <c r="C190" s="18"/>
      <c r="D190" s="19"/>
      <c r="E190" s="18"/>
      <c r="F190" s="18"/>
    </row>
    <row r="191" customFormat="false" ht="15" hidden="false" customHeight="false" outlineLevel="0" collapsed="false">
      <c r="A191" s="14"/>
      <c r="B191" s="15"/>
      <c r="C191" s="15"/>
      <c r="D191" s="16"/>
      <c r="E191" s="15"/>
      <c r="F191" s="15"/>
    </row>
    <row r="192" customFormat="false" ht="15" hidden="false" customHeight="false" outlineLevel="0" collapsed="false">
      <c r="A192" s="17"/>
      <c r="B192" s="18"/>
      <c r="C192" s="18"/>
      <c r="D192" s="19"/>
      <c r="E192" s="18"/>
      <c r="F192" s="18"/>
    </row>
    <row r="193" customFormat="false" ht="15" hidden="false" customHeight="false" outlineLevel="0" collapsed="false">
      <c r="A193" s="14"/>
      <c r="B193" s="15"/>
      <c r="C193" s="15"/>
      <c r="D193" s="16"/>
      <c r="E193" s="15"/>
      <c r="F193" s="15"/>
    </row>
    <row r="194" customFormat="false" ht="15" hidden="false" customHeight="false" outlineLevel="0" collapsed="false">
      <c r="A194" s="17"/>
      <c r="B194" s="18"/>
      <c r="C194" s="18"/>
      <c r="D194" s="19"/>
      <c r="E194" s="18"/>
      <c r="F194" s="18"/>
    </row>
    <row r="195" customFormat="false" ht="15" hidden="false" customHeight="false" outlineLevel="0" collapsed="false">
      <c r="A195" s="14"/>
      <c r="B195" s="15"/>
      <c r="C195" s="15"/>
      <c r="D195" s="16"/>
      <c r="E195" s="15"/>
      <c r="F195" s="15"/>
    </row>
    <row r="196" customFormat="false" ht="15" hidden="false" customHeight="false" outlineLevel="0" collapsed="false">
      <c r="A196" s="17"/>
      <c r="B196" s="18"/>
      <c r="C196" s="18"/>
      <c r="D196" s="19"/>
      <c r="E196" s="18"/>
      <c r="F196" s="18"/>
    </row>
    <row r="197" customFormat="false" ht="15" hidden="false" customHeight="false" outlineLevel="0" collapsed="false">
      <c r="A197" s="14"/>
      <c r="B197" s="15"/>
      <c r="C197" s="15"/>
      <c r="D197" s="16"/>
      <c r="E197" s="15"/>
      <c r="F197" s="15"/>
    </row>
    <row r="198" customFormat="false" ht="15" hidden="false" customHeight="false" outlineLevel="0" collapsed="false">
      <c r="A198" s="17"/>
      <c r="B198" s="18"/>
      <c r="C198" s="18"/>
      <c r="D198" s="19"/>
      <c r="E198" s="18"/>
      <c r="F198" s="18"/>
    </row>
    <row r="199" customFormat="false" ht="15" hidden="false" customHeight="false" outlineLevel="0" collapsed="false">
      <c r="A199" s="14"/>
      <c r="B199" s="15"/>
      <c r="C199" s="15"/>
      <c r="D199" s="16"/>
      <c r="E199" s="15"/>
      <c r="F199" s="15"/>
    </row>
    <row r="200" customFormat="false" ht="15" hidden="false" customHeight="false" outlineLevel="0" collapsed="false">
      <c r="A200" s="17"/>
      <c r="B200" s="18"/>
      <c r="C200" s="18"/>
      <c r="D200" s="19"/>
      <c r="E200" s="18"/>
      <c r="F200" s="18"/>
    </row>
  </sheetData>
  <mergeCells count="2">
    <mergeCell ref="A1:F1"/>
    <mergeCell ref="A2:F2"/>
  </mergeCells>
  <dataValidations count="2">
    <dataValidation allowBlank="true" error="Choisissez une catégorie." errorStyle="stop" errorTitle="Catégorie invalide" operator="between" showDropDown="false" showErrorMessage="true" showInputMessage="false" sqref="B4:B200" type="list">
      <formula1>"Infrastructure &amp; Hébergement,Outils &amp; Logiciels,Légal &amp; Juridique,Marketing &amp; Communication,Terrain &amp; Commercial,Personnel &amp; Associé,Divers"</formula1>
      <formula2>0</formula2>
    </dataValidation>
    <dataValidation allowBlank="true" errorStyle="stop" operator="between" showDropDown="false" showErrorMessage="false" showInputMessage="false" sqref="E4:E200" type="list">
      <formula1>"MoMo,Espèces,Virement,Carte,Autre"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22"/>
    <col collapsed="false" customWidth="true" hidden="false" outlineLevel="0" max="5" min="5" style="0" width="14"/>
  </cols>
  <sheetData>
    <row r="1" customFormat="false" ht="31.5" hidden="false" customHeight="true" outlineLevel="0" collapsed="false">
      <c r="A1" s="1" t="s">
        <v>17</v>
      </c>
      <c r="B1" s="1"/>
      <c r="C1" s="1"/>
      <c r="D1" s="1"/>
      <c r="E1" s="1"/>
    </row>
    <row r="2" customFormat="false" ht="24" hidden="false" customHeight="true" outlineLevel="0" collapsed="false">
      <c r="A2" s="20" t="s">
        <v>18</v>
      </c>
      <c r="B2" s="21" t="n">
        <f aca="true">MONTH(TODAY())</f>
        <v>6</v>
      </c>
      <c r="C2" s="22" t="n">
        <f aca="true">YEAR(TODAY())</f>
        <v>2026</v>
      </c>
      <c r="D2" s="23" t="s">
        <v>19</v>
      </c>
      <c r="E2" s="23"/>
    </row>
    <row r="4" customFormat="false" ht="24" hidden="false" customHeight="true" outlineLevel="0" collapsed="false">
      <c r="A4" s="24" t="s">
        <v>20</v>
      </c>
      <c r="B4" s="25" t="n">
        <f aca="false">SUM(B6:B12)</f>
        <v>175000</v>
      </c>
      <c r="C4" s="25" t="n">
        <f aca="false">SUM(C6:C12)</f>
        <v>70000</v>
      </c>
      <c r="D4" s="25" t="n">
        <f aca="false">SUM(D6:D12)</f>
        <v>105000</v>
      </c>
      <c r="E4" s="26" t="n">
        <f aca="false">IFERROR(C4/B4,0)</f>
        <v>0.4</v>
      </c>
    </row>
    <row r="5" customFormat="false" ht="21.75" hidden="false" customHeight="true" outlineLevel="0" collapsed="false">
      <c r="A5" s="27" t="s">
        <v>3</v>
      </c>
      <c r="B5" s="27" t="s">
        <v>21</v>
      </c>
      <c r="C5" s="27" t="s">
        <v>22</v>
      </c>
      <c r="D5" s="27" t="s">
        <v>23</v>
      </c>
      <c r="E5" s="27" t="s">
        <v>24</v>
      </c>
    </row>
    <row r="6" customFormat="false" ht="19.5" hidden="false" customHeight="true" outlineLevel="0" collapsed="false">
      <c r="A6" s="6" t="s">
        <v>8</v>
      </c>
      <c r="B6" s="7" t="n">
        <v>25000</v>
      </c>
      <c r="C6" s="28" t="n">
        <f aca="false">SUMPRODUCT((MONTH(Saisie!$A$4:$A$200)=$B$2)*(YEAR(Saisie!$A$4:$A$200)=$C$2)*(Saisie!$B$4:$B$200=A6)*Saisie!$D$4:$D$200)</f>
        <v>12000</v>
      </c>
      <c r="D6" s="28" t="n">
        <f aca="false">B6-C6</f>
        <v>13000</v>
      </c>
      <c r="E6" s="29" t="n">
        <f aca="false">IFERROR(C6/B6,0)</f>
        <v>0.48</v>
      </c>
    </row>
    <row r="7" customFormat="false" ht="19.5" hidden="false" customHeight="true" outlineLevel="0" collapsed="false">
      <c r="A7" s="11" t="s">
        <v>15</v>
      </c>
      <c r="B7" s="12" t="n">
        <v>15000</v>
      </c>
      <c r="C7" s="30" t="n">
        <f aca="false">SUMPRODUCT((MONTH(Saisie!$A$4:$A$200)=$B$2)*(YEAR(Saisie!$A$4:$A$200)=$C$2)*(Saisie!$B$4:$B$200=A7)*Saisie!$D$4:$D$200)</f>
        <v>8000</v>
      </c>
      <c r="D7" s="30" t="n">
        <f aca="false">B7-C7</f>
        <v>7000</v>
      </c>
      <c r="E7" s="31" t="n">
        <f aca="false">IFERROR(C7/B7,0)</f>
        <v>0.533333333333333</v>
      </c>
    </row>
    <row r="8" customFormat="false" ht="19.5" hidden="false" customHeight="true" outlineLevel="0" collapsed="false">
      <c r="A8" s="6" t="s">
        <v>11</v>
      </c>
      <c r="B8" s="7" t="n">
        <v>75000</v>
      </c>
      <c r="C8" s="28" t="n">
        <f aca="false">SUMPRODUCT((MONTH(Saisie!$A$4:$A$200)=$B$2)*(YEAR(Saisie!$A$4:$A$200)=$C$2)*(Saisie!$B$4:$B$200=A8)*Saisie!$D$4:$D$200)</f>
        <v>50000</v>
      </c>
      <c r="D8" s="28" t="n">
        <f aca="false">B8-C8</f>
        <v>25000</v>
      </c>
      <c r="E8" s="29" t="n">
        <f aca="false">IFERROR(C8/B8,0)</f>
        <v>0.666666666666667</v>
      </c>
    </row>
    <row r="9" customFormat="false" ht="19.5" hidden="false" customHeight="true" outlineLevel="0" collapsed="false">
      <c r="A9" s="11" t="s">
        <v>25</v>
      </c>
      <c r="B9" s="12" t="n">
        <v>30000</v>
      </c>
      <c r="C9" s="30" t="n">
        <f aca="false">SUMPRODUCT((MONTH(Saisie!$A$4:$A$200)=$B$2)*(YEAR(Saisie!$A$4:$A$200)=$C$2)*(Saisie!$B$4:$B$200=A9)*Saisie!$D$4:$D$200)</f>
        <v>0</v>
      </c>
      <c r="D9" s="30" t="n">
        <f aca="false">B9-C9</f>
        <v>30000</v>
      </c>
      <c r="E9" s="31" t="n">
        <f aca="false">IFERROR(C9/B9,0)</f>
        <v>0</v>
      </c>
    </row>
    <row r="10" customFormat="false" ht="19.5" hidden="false" customHeight="true" outlineLevel="0" collapsed="false">
      <c r="A10" s="6" t="s">
        <v>26</v>
      </c>
      <c r="B10" s="7" t="n">
        <v>20000</v>
      </c>
      <c r="C10" s="28" t="n">
        <f aca="false">SUMPRODUCT((MONTH(Saisie!$A$4:$A$200)=$B$2)*(YEAR(Saisie!$A$4:$A$200)=$C$2)*(Saisie!$B$4:$B$200=A10)*Saisie!$D$4:$D$200)</f>
        <v>0</v>
      </c>
      <c r="D10" s="28" t="n">
        <f aca="false">B10-C10</f>
        <v>20000</v>
      </c>
      <c r="E10" s="29" t="n">
        <f aca="false">IFERROR(C10/B10,0)</f>
        <v>0</v>
      </c>
    </row>
    <row r="11" customFormat="false" ht="19.5" hidden="false" customHeight="true" outlineLevel="0" collapsed="false">
      <c r="A11" s="11" t="s">
        <v>27</v>
      </c>
      <c r="B11" s="12" t="n">
        <v>0</v>
      </c>
      <c r="C11" s="30" t="n">
        <f aca="false">SUMPRODUCT((MONTH(Saisie!$A$4:$A$200)=$B$2)*(YEAR(Saisie!$A$4:$A$200)=$C$2)*(Saisie!$B$4:$B$200=A11)*Saisie!$D$4:$D$200)</f>
        <v>0</v>
      </c>
      <c r="D11" s="30" t="n">
        <f aca="false">B11-C11</f>
        <v>0</v>
      </c>
      <c r="E11" s="31" t="n">
        <f aca="false">IFERROR(C11/B11,0)</f>
        <v>0</v>
      </c>
    </row>
    <row r="12" customFormat="false" ht="19.5" hidden="false" customHeight="true" outlineLevel="0" collapsed="false">
      <c r="A12" s="6" t="s">
        <v>28</v>
      </c>
      <c r="B12" s="7" t="n">
        <v>10000</v>
      </c>
      <c r="C12" s="28" t="n">
        <f aca="false">SUMPRODUCT((MONTH(Saisie!$A$4:$A$200)=$B$2)*(YEAR(Saisie!$A$4:$A$200)=$C$2)*(Saisie!$B$4:$B$200=A12)*Saisie!$D$4:$D$200)</f>
        <v>0</v>
      </c>
      <c r="D12" s="28" t="n">
        <f aca="false">B12-C12</f>
        <v>10000</v>
      </c>
      <c r="E12" s="29" t="n">
        <f aca="false">IFERROR(C12/B12,0)</f>
        <v>0</v>
      </c>
    </row>
  </sheetData>
  <mergeCells count="2">
    <mergeCell ref="A1:E1"/>
    <mergeCell ref="D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8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31.5" hidden="false" customHeight="true" outlineLevel="0" collapsed="false">
      <c r="A1" s="1" t="s">
        <v>29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tr">
        <f aca="false">"Période : mois "&amp;Budget!B2&amp;" / "&amp;Budget!C2&amp;" — Modifiez la période dans la feuille Budget"</f>
        <v>Période : mois 6 / 2026 — Modifiez la période dans la feuille Budget</v>
      </c>
      <c r="B2" s="2"/>
      <c r="C2" s="2"/>
      <c r="D2" s="2"/>
      <c r="E2" s="2"/>
      <c r="F2" s="2"/>
      <c r="G2" s="2"/>
    </row>
    <row r="4" customFormat="false" ht="15.75" hidden="false" customHeight="true" outlineLevel="0" collapsed="false">
      <c r="A4" s="32" t="s">
        <v>30</v>
      </c>
      <c r="B4" s="32"/>
      <c r="C4" s="32" t="s">
        <v>31</v>
      </c>
      <c r="D4" s="32"/>
      <c r="E4" s="32" t="s">
        <v>32</v>
      </c>
      <c r="F4" s="32"/>
      <c r="G4" s="32" t="s">
        <v>33</v>
      </c>
      <c r="H4" s="32"/>
    </row>
    <row r="5" customFormat="false" ht="39.75" hidden="false" customHeight="true" outlineLevel="0" collapsed="false">
      <c r="A5" s="33" t="n">
        <f aca="false">Budget!B4</f>
        <v>175000</v>
      </c>
      <c r="B5" s="33"/>
      <c r="C5" s="34" t="n">
        <f aca="false">Budget!C4</f>
        <v>70000</v>
      </c>
      <c r="D5" s="34"/>
      <c r="E5" s="33" t="n">
        <f aca="false">Budget!D4</f>
        <v>105000</v>
      </c>
      <c r="F5" s="33"/>
      <c r="G5" s="35" t="n">
        <f aca="false">IFERROR(Budget!C4/Budget!B4,0)</f>
        <v>0.4</v>
      </c>
      <c r="H5" s="35"/>
    </row>
    <row r="6" customFormat="false" ht="7.5" hidden="false" customHeight="true" outlineLevel="0" collapsed="false"/>
    <row r="8" customFormat="false" ht="19.5" hidden="false" customHeight="true" outlineLevel="0" collapsed="false">
      <c r="A8" s="36" t="s">
        <v>34</v>
      </c>
      <c r="B8" s="36"/>
      <c r="C8" s="36"/>
      <c r="D8" s="36"/>
      <c r="E8" s="36"/>
      <c r="F8" s="36"/>
      <c r="G8" s="36"/>
    </row>
    <row r="9" customFormat="false" ht="21.75" hidden="false" customHeight="true" outlineLevel="0" collapsed="false">
      <c r="A9" s="3" t="s">
        <v>3</v>
      </c>
      <c r="B9" s="3" t="s">
        <v>35</v>
      </c>
      <c r="C9" s="3" t="s">
        <v>36</v>
      </c>
      <c r="D9" s="3" t="s">
        <v>37</v>
      </c>
      <c r="E9" s="3" t="s">
        <v>24</v>
      </c>
      <c r="F9" s="3" t="s">
        <v>38</v>
      </c>
    </row>
    <row r="10" customFormat="false" ht="19.5" hidden="false" customHeight="true" outlineLevel="0" collapsed="false">
      <c r="A10" s="6" t="str">
        <f aca="false">Budget!A6</f>
        <v>Infrastructure &amp; Hébergement</v>
      </c>
      <c r="B10" s="37" t="n">
        <f aca="false">Budget!B6</f>
        <v>25000</v>
      </c>
      <c r="C10" s="28" t="n">
        <f aca="false">Budget!C6</f>
        <v>12000</v>
      </c>
      <c r="D10" s="28" t="n">
        <f aca="false">Budget!D6</f>
        <v>13000</v>
      </c>
      <c r="E10" s="29" t="n">
        <f aca="false">Budget!E6</f>
        <v>0.48</v>
      </c>
      <c r="F10" s="38" t="str">
        <f aca="false">IFERROR(REPT("█",MIN(ROUND(Budget!E6*10,0),10))&amp;REPT("░",10-MIN(ROUND(Budget!E6*10,0),10))&amp;" "&amp;TEXT(Budget!E6,"0%"),"-")</f>
        <v>█████░░░░░ 48%</v>
      </c>
    </row>
    <row r="11" customFormat="false" ht="19.5" hidden="false" customHeight="true" outlineLevel="0" collapsed="false">
      <c r="A11" s="11" t="str">
        <f aca="false">Budget!A7</f>
        <v>Outils &amp; Logiciels</v>
      </c>
      <c r="B11" s="39" t="n">
        <f aca="false">Budget!B7</f>
        <v>15000</v>
      </c>
      <c r="C11" s="30" t="n">
        <f aca="false">Budget!C7</f>
        <v>8000</v>
      </c>
      <c r="D11" s="30" t="n">
        <f aca="false">Budget!D7</f>
        <v>7000</v>
      </c>
      <c r="E11" s="31" t="n">
        <f aca="false">Budget!E7</f>
        <v>0.533333333333333</v>
      </c>
      <c r="F11" s="40" t="str">
        <f aca="false">IFERROR(REPT("█",MIN(ROUND(Budget!E7*10,0),10))&amp;REPT("░",10-MIN(ROUND(Budget!E7*10,0),10))&amp;" "&amp;TEXT(Budget!E7,"0%"),"-")</f>
        <v>█████░░░░░ 53%</v>
      </c>
    </row>
    <row r="12" customFormat="false" ht="19.5" hidden="false" customHeight="true" outlineLevel="0" collapsed="false">
      <c r="A12" s="6" t="str">
        <f aca="false">Budget!A8</f>
        <v>Légal &amp; Juridique</v>
      </c>
      <c r="B12" s="37" t="n">
        <f aca="false">Budget!B8</f>
        <v>75000</v>
      </c>
      <c r="C12" s="28" t="n">
        <f aca="false">Budget!C8</f>
        <v>50000</v>
      </c>
      <c r="D12" s="28" t="n">
        <f aca="false">Budget!D8</f>
        <v>25000</v>
      </c>
      <c r="E12" s="29" t="n">
        <f aca="false">Budget!E8</f>
        <v>0.666666666666667</v>
      </c>
      <c r="F12" s="38" t="str">
        <f aca="false">IFERROR(REPT("█",MIN(ROUND(Budget!E8*10,0),10))&amp;REPT("░",10-MIN(ROUND(Budget!E8*10,0),10))&amp;" "&amp;TEXT(Budget!E8,"0%"),"-")</f>
        <v>███████░░░ 67%</v>
      </c>
    </row>
    <row r="13" customFormat="false" ht="19.5" hidden="false" customHeight="true" outlineLevel="0" collapsed="false">
      <c r="A13" s="11" t="str">
        <f aca="false">Budget!A9</f>
        <v>Marketing &amp; Communication</v>
      </c>
      <c r="B13" s="39" t="n">
        <f aca="false">Budget!B9</f>
        <v>30000</v>
      </c>
      <c r="C13" s="30" t="n">
        <f aca="false">Budget!C9</f>
        <v>0</v>
      </c>
      <c r="D13" s="30" t="n">
        <f aca="false">Budget!D9</f>
        <v>30000</v>
      </c>
      <c r="E13" s="31" t="n">
        <f aca="false">Budget!E9</f>
        <v>0</v>
      </c>
      <c r="F13" s="40" t="str">
        <f aca="false">IFERROR(REPT("█",MIN(ROUND(Budget!E9*10,0),10))&amp;REPT("░",10-MIN(ROUND(Budget!E9*10,0),10))&amp;" "&amp;TEXT(Budget!E9,"0%"),"-")</f>
        <v>░░░░░░░░░░ 0%</v>
      </c>
    </row>
    <row r="14" customFormat="false" ht="19.5" hidden="false" customHeight="true" outlineLevel="0" collapsed="false">
      <c r="A14" s="6" t="str">
        <f aca="false">Budget!A10</f>
        <v>Terrain &amp; Commercial</v>
      </c>
      <c r="B14" s="37" t="n">
        <f aca="false">Budget!B10</f>
        <v>20000</v>
      </c>
      <c r="C14" s="28" t="n">
        <f aca="false">Budget!C10</f>
        <v>0</v>
      </c>
      <c r="D14" s="28" t="n">
        <f aca="false">Budget!D10</f>
        <v>20000</v>
      </c>
      <c r="E14" s="29" t="n">
        <f aca="false">Budget!E10</f>
        <v>0</v>
      </c>
      <c r="F14" s="38" t="str">
        <f aca="false">IFERROR(REPT("█",MIN(ROUND(Budget!E10*10,0),10))&amp;REPT("░",10-MIN(ROUND(Budget!E10*10,0),10))&amp;" "&amp;TEXT(Budget!E10,"0%"),"-")</f>
        <v>░░░░░░░░░░ 0%</v>
      </c>
    </row>
    <row r="15" customFormat="false" ht="19.5" hidden="false" customHeight="true" outlineLevel="0" collapsed="false">
      <c r="A15" s="11" t="str">
        <f aca="false">Budget!A11</f>
        <v>Personnel &amp; Associé</v>
      </c>
      <c r="B15" s="39" t="n">
        <f aca="false">Budget!B11</f>
        <v>0</v>
      </c>
      <c r="C15" s="30" t="n">
        <f aca="false">Budget!C11</f>
        <v>0</v>
      </c>
      <c r="D15" s="30" t="n">
        <f aca="false">Budget!D11</f>
        <v>0</v>
      </c>
      <c r="E15" s="31" t="n">
        <f aca="false">Budget!E11</f>
        <v>0</v>
      </c>
      <c r="F15" s="40" t="str">
        <f aca="false">IFERROR(REPT("█",MIN(ROUND(Budget!E11*10,0),10))&amp;REPT("░",10-MIN(ROUND(Budget!E11*10,0),10))&amp;" "&amp;TEXT(Budget!E11,"0%"),"-")</f>
        <v>░░░░░░░░░░ 0%</v>
      </c>
    </row>
    <row r="16" customFormat="false" ht="19.5" hidden="false" customHeight="true" outlineLevel="0" collapsed="false">
      <c r="A16" s="6" t="str">
        <f aca="false">Budget!A12</f>
        <v>Divers</v>
      </c>
      <c r="B16" s="37" t="n">
        <f aca="false">Budget!B12</f>
        <v>10000</v>
      </c>
      <c r="C16" s="28" t="n">
        <f aca="false">Budget!C12</f>
        <v>0</v>
      </c>
      <c r="D16" s="28" t="n">
        <f aca="false">Budget!D12</f>
        <v>10000</v>
      </c>
      <c r="E16" s="29" t="n">
        <f aca="false">Budget!E12</f>
        <v>0</v>
      </c>
      <c r="F16" s="38" t="str">
        <f aca="false">IFERROR(REPT("█",MIN(ROUND(Budget!E12*10,0),10))&amp;REPT("░",10-MIN(ROUND(Budget!E12*10,0),10))&amp;" "&amp;TEXT(Budget!E12,"0%"),"-")</f>
        <v>░░░░░░░░░░ 0%</v>
      </c>
    </row>
    <row r="18" customFormat="false" ht="19.5" hidden="false" customHeight="true" outlineLevel="0" collapsed="false">
      <c r="A18" s="36" t="s">
        <v>39</v>
      </c>
      <c r="B18" s="36"/>
      <c r="C18" s="36"/>
      <c r="D18" s="36"/>
      <c r="E18" s="36"/>
      <c r="F18" s="36"/>
      <c r="G18" s="36"/>
    </row>
    <row r="19" customFormat="false" ht="21.75" hidden="false" customHeight="true" outlineLevel="0" collapsed="false">
      <c r="A19" s="3" t="s">
        <v>2</v>
      </c>
      <c r="B19" s="3" t="s">
        <v>3</v>
      </c>
      <c r="C19" s="3" t="s">
        <v>4</v>
      </c>
      <c r="D19" s="3" t="s">
        <v>5</v>
      </c>
      <c r="E19" s="3" t="s">
        <v>40</v>
      </c>
    </row>
    <row r="20" customFormat="false" ht="18" hidden="false" customHeight="true" outlineLevel="0" collapsed="false">
      <c r="A20" s="41" t="n">
        <f aca="false">IFERROR(INDEX(Saisie!A$4:A$200,MAX(COUNTA(Saisie!A$4:A$200)-0,1)),"")</f>
        <v>46178</v>
      </c>
      <c r="B20" s="6" t="str">
        <f aca="false">IFERROR(INDEX(Saisie!B$4:B$200,MAX(COUNTA(Saisie!A$4:A$200)-0,1)),"")</f>
        <v>Outils &amp; Logiciels</v>
      </c>
      <c r="C20" s="6" t="str">
        <f aca="false">IFERROR(INDEX(Saisie!C$4:C$200,MAX(COUNTA(Saisie!A$4:A$200)-0,1)),"")</f>
        <v>Supabase Pro — juin 2026</v>
      </c>
      <c r="D20" s="28" t="n">
        <f aca="false">IFERROR(INDEX(Saisie!D$4:D$200,MAX(COUNTA(Saisie!A$4:A$200)-0,1)),"")</f>
        <v>8000</v>
      </c>
      <c r="E20" s="6" t="str">
        <f aca="false">IFERROR(INDEX(Saisie!E$4:E$200,MAX(COUNTA(Saisie!A$4:A$200)-0,1)),"")</f>
        <v>Carte</v>
      </c>
    </row>
    <row r="21" customFormat="false" ht="18" hidden="false" customHeight="true" outlineLevel="0" collapsed="false">
      <c r="A21" s="42" t="n">
        <f aca="false">IFERROR(INDEX(Saisie!A$4:A$200,MAX(COUNTA(Saisie!A$4:A$200)-1,1)),"")</f>
        <v>46176</v>
      </c>
      <c r="B21" s="11" t="str">
        <f aca="false">IFERROR(INDEX(Saisie!B$4:B$200,MAX(COUNTA(Saisie!A$4:A$200)-1,1)),"")</f>
        <v>Légal &amp; Juridique</v>
      </c>
      <c r="C21" s="11" t="str">
        <f aca="false">IFERROR(INDEX(Saisie!C$4:C$200,MAX(COUNTA(Saisie!A$4:A$200)-1,1)),"")</f>
        <v>Honoraires conseiller</v>
      </c>
      <c r="D21" s="30" t="n">
        <f aca="false">IFERROR(INDEX(Saisie!D$4:D$200,MAX(COUNTA(Saisie!A$4:A$200)-1,1)),"")</f>
        <v>50000</v>
      </c>
      <c r="E21" s="11" t="str">
        <f aca="false">IFERROR(INDEX(Saisie!E$4:E$200,MAX(COUNTA(Saisie!A$4:A$200)-1,1)),"")</f>
        <v>MoMo</v>
      </c>
    </row>
    <row r="22" customFormat="false" ht="18" hidden="false" customHeight="true" outlineLevel="0" collapsed="false">
      <c r="A22" s="41" t="n">
        <f aca="false">IFERROR(INDEX(Saisie!A$4:A$200,MAX(COUNTA(Saisie!A$4:A$200)-2,1)),"")</f>
        <v>46174</v>
      </c>
      <c r="B22" s="6" t="str">
        <f aca="false">IFERROR(INDEX(Saisie!B$4:B$200,MAX(COUNTA(Saisie!A$4:A$200)-2,1)),"")</f>
        <v>Infrastructure &amp; Hébergement</v>
      </c>
      <c r="C22" s="6" t="str">
        <f aca="false">IFERROR(INDEX(Saisie!C$4:C$200,MAX(COUNTA(Saisie!A$4:A$200)-2,1)),"")</f>
        <v>Vercel Pro — juin 2026</v>
      </c>
      <c r="D22" s="28" t="n">
        <f aca="false">IFERROR(INDEX(Saisie!D$4:D$200,MAX(COUNTA(Saisie!A$4:A$200)-2,1)),"")</f>
        <v>12000</v>
      </c>
      <c r="E22" s="6" t="str">
        <f aca="false">IFERROR(INDEX(Saisie!E$4:E$200,MAX(COUNTA(Saisie!A$4:A$200)-2,1)),"")</f>
        <v>Carte</v>
      </c>
    </row>
    <row r="23" customFormat="false" ht="18" hidden="false" customHeight="true" outlineLevel="0" collapsed="false">
      <c r="A23" s="42" t="n">
        <f aca="false">IFERROR(INDEX(Saisie!A$4:A$200,MAX(COUNTA(Saisie!A$4:A$200)-3,1)),"")</f>
        <v>46174</v>
      </c>
      <c r="B23" s="11" t="str">
        <f aca="false">IFERROR(INDEX(Saisie!B$4:B$200,MAX(COUNTA(Saisie!A$4:A$200)-3,1)),"")</f>
        <v>Infrastructure &amp; Hébergement</v>
      </c>
      <c r="C23" s="11" t="str">
        <f aca="false">IFERROR(INDEX(Saisie!C$4:C$200,MAX(COUNTA(Saisie!A$4:A$200)-3,1)),"")</f>
        <v>Vercel Pro — juin 2026</v>
      </c>
      <c r="D23" s="30" t="n">
        <f aca="false">IFERROR(INDEX(Saisie!D$4:D$200,MAX(COUNTA(Saisie!A$4:A$200)-3,1)),"")</f>
        <v>12000</v>
      </c>
      <c r="E23" s="11" t="str">
        <f aca="false">IFERROR(INDEX(Saisie!E$4:E$200,MAX(COUNTA(Saisie!A$4:A$200)-3,1)),"")</f>
        <v>Carte</v>
      </c>
    </row>
    <row r="24" customFormat="false" ht="18" hidden="false" customHeight="true" outlineLevel="0" collapsed="false">
      <c r="A24" s="41" t="n">
        <f aca="false">IFERROR(INDEX(Saisie!A$4:A$200,MAX(COUNTA(Saisie!A$4:A$200)-4,1)),"")</f>
        <v>46174</v>
      </c>
      <c r="B24" s="6" t="str">
        <f aca="false">IFERROR(INDEX(Saisie!B$4:B$200,MAX(COUNTA(Saisie!A$4:A$200)-4,1)),"")</f>
        <v>Infrastructure &amp; Hébergement</v>
      </c>
      <c r="C24" s="6" t="str">
        <f aca="false">IFERROR(INDEX(Saisie!C$4:C$200,MAX(COUNTA(Saisie!A$4:A$200)-4,1)),"")</f>
        <v>Vercel Pro — juin 2026</v>
      </c>
      <c r="D24" s="28" t="n">
        <f aca="false">IFERROR(INDEX(Saisie!D$4:D$200,MAX(COUNTA(Saisie!A$4:A$200)-4,1)),"")</f>
        <v>12000</v>
      </c>
      <c r="E24" s="6" t="str">
        <f aca="false">IFERROR(INDEX(Saisie!E$4:E$200,MAX(COUNTA(Saisie!A$4:A$200)-4,1)),"")</f>
        <v>Carte</v>
      </c>
    </row>
  </sheetData>
  <mergeCells count="12">
    <mergeCell ref="A1:G1"/>
    <mergeCell ref="A2:G2"/>
    <mergeCell ref="A4:B4"/>
    <mergeCell ref="C4:D4"/>
    <mergeCell ref="E4:F4"/>
    <mergeCell ref="G4:H4"/>
    <mergeCell ref="A5:B5"/>
    <mergeCell ref="C5:D5"/>
    <mergeCell ref="E5:F5"/>
    <mergeCell ref="G5:H5"/>
    <mergeCell ref="A8:G8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2026-06-08T23:56:27Z</dcterms:created>
  <dc:creator>openpyxl</dc:creator>
  <dc:description/>
  <dc:language>en-US</dc:language>
  <cp:lastModifiedBy/>
  <dcterms:modified xsi:type="dcterms:W3CDTF">2026-06-08T23:56:36Z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