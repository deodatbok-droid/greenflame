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ypothèses" sheetId="1" state="visible" r:id="rId3"/>
    <sheet name="Projection hebdomadaire" sheetId="2" state="visible" r:id="rId4"/>
    <sheet name="Valoris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<sst xmlns="http://schemas.openxmlformats.org/spreadsheetml/2006/main" count="87" uniqueCount="75">
  <si>
    <t xml:space="preserve">GREENFLAME — MODÈLE DE PROJECTION ET DE VALORISATION — Hypothèses (cellules bleues = à ajuster)</t>
  </si>
  <si>
    <t xml:space="preserve">Modifiez uniquement les valeurs en BLEU (et le tableau JAUNE de la section D). Les deux autres onglets (Projection hebdomadaire, Valorisation) se recalculent automatiquement à partir de ces hypothèses — remplacez-les par vos chiffres réels au fil des semaines pour transformer ce modèle en suivi vivant.</t>
  </si>
  <si>
    <t xml:space="preserve">A. Démarrage et croissance du réseau d'utilisateurs (Kingmakers + filleuls)</t>
  </si>
  <si>
    <t xml:space="preserve">Utilisateurs actifs à S0 (Kingmakers fondateurs)</t>
  </si>
  <si>
    <t xml:space="preserve">Nouveaux utilisateurs ajoutés en S1 (vague des 100 Kingmakers)</t>
  </si>
  <si>
    <t xml:space="preserve">Taux de croissance hebdo — S2 à S3 (recrutement des filleuls, 1er cercle)</t>
  </si>
  <si>
    <t xml:space="preserve">Taux de croissance hebdo — S4 à S6 (poursuite + amorce du 2e cercle)</t>
  </si>
  <si>
    <t xml:space="preserve">Taux de croissance hebdo — S7 à S9 (rythme de croisière)</t>
  </si>
  <si>
    <t xml:space="preserve">B. Déploiement des marchands (équipe commerciale terrain)</t>
  </si>
  <si>
    <t xml:space="preserve">Marchands actifs à S0 (pilote existant)</t>
  </si>
  <si>
    <t xml:space="preserve">Taux de croissance hebdo — S1 à S3 (montée en charge de l'équipe)</t>
  </si>
  <si>
    <t xml:space="preserve">Taux de croissance hebdo — S4 à S6 (équipe rodée)</t>
  </si>
  <si>
    <t xml:space="preserve">C. Hypothèses de comportement transactionnel</t>
  </si>
  <si>
    <t xml:space="preserve">Transactions par utilisateur actif et par semaine</t>
  </si>
  <si>
    <t xml:space="preserve">Transactions par marchand actif et par semaine</t>
  </si>
  <si>
    <t xml:space="preserve">Panier moyen par transaction (FCFA)</t>
  </si>
  <si>
    <t xml:space="preserve">Taux de change FCFA → USD (1 USD = … FCFA)</t>
  </si>
  <si>
    <t xml:space="preserve">D. Repères de valorisation illustratifs — pré-money en USD (ANCRES DE NÉGOCIATION, pas des résultats de calcul — à ajuster et faire valider)</t>
  </si>
  <si>
    <t xml:space="preserve">Jalon</t>
  </si>
  <si>
    <t xml:space="preserve">Bas (USD)</t>
  </si>
  <si>
    <t xml:space="preserve">Médian (USD)</t>
  </si>
  <si>
    <t xml:space="preserve">Haut (USD)</t>
  </si>
  <si>
    <t xml:space="preserve">J0 — aujourd'hui</t>
  </si>
  <si>
    <t xml:space="preserve">S3</t>
  </si>
  <si>
    <t xml:space="preserve">S6</t>
  </si>
  <si>
    <t xml:space="preserve">S9</t>
  </si>
  <si>
    <t xml:space="preserve">1. Le bond de la semaine 1 (+100 utilisateurs) correspond à la vague de Kingmakers déjà engagés. Les taux de croissance suivants modélisent le recrutement de leurs filleuls (1er cercle), puis un ralentissement progressif typique d'une dynamique de réseau qui mûrit (2e cercle plus lent à se former, base plus large donc taux relatif plus faible).</t>
  </si>
  <si>
    <t xml:space="preserve">2. Les marchands suivent le rythme de montée en charge de l'équipe commerciale terrain : formation initiale, puis cadence de croisière une fois l'équipe rodée (cf. chronogramme de lancement, Phase 2).</t>
  </si>
  <si>
    <t xml:space="preserve">3. Les fréquences de transaction (1,2/utilisateur/semaine, 6/marchand/semaine) sont des hypothèses prudentes pour un tout début d'activité, à remplacer par vos données réelles dès la fin de la première semaine de lancement.</t>
  </si>
  <si>
    <t xml:space="preserve">4. Les repères de valorisation (section D, en jaune) sont des ancres de négociation construites par décomposition qualitative — produit livré, équipe complète, sécurisation juridique, pipeline de distribution déjà engagé — et non des évaluations formelles. Faites-les valider par votre conseiller juridique ou un professionnel de la valorisation avant de les faire figurer dans un contrat d'association ou une discussion investisseur.</t>
  </si>
  <si>
    <t xml:space="preserve">GREENFLAME — Projection hebdomadaire S0 → S9 (entièrement calculée à partir de l'onglet Hypothèses)</t>
  </si>
  <si>
    <t xml:space="preserve">Toutes les cellules ci-dessous sont des formules. Changez une hypothèse dans l'onglet précédent : toute la projection — et la valorisation associée — se met à jour automatiquement.</t>
  </si>
  <si>
    <t xml:space="preserve">Semaine</t>
  </si>
  <si>
    <t xml:space="preserve">Repère</t>
  </si>
  <si>
    <t xml:space="preserve">Utilisateurs actifs
(cumulés)</t>
  </si>
  <si>
    <t xml:space="preserve">Marchands actifs
(cumulés)</t>
  </si>
  <si>
    <t xml:space="preserve">Transactions
/ semaine</t>
  </si>
  <si>
    <t xml:space="preserve">Transactions
cumulées (depuis S0)</t>
  </si>
  <si>
    <t xml:space="preserve">GMV / semaine
(FCFA)</t>
  </si>
  <si>
    <t xml:space="preserve">GMV cumulée
(FCFA)</t>
  </si>
  <si>
    <t xml:space="preserve">GMV cumulée
(USD)</t>
  </si>
  <si>
    <t xml:space="preserve">S0</t>
  </si>
  <si>
    <t xml:space="preserve">← J0 (référence pré-lancement)</t>
  </si>
  <si>
    <t xml:space="preserve">S1</t>
  </si>
  <si>
    <t xml:space="preserve">S2</t>
  </si>
  <si>
    <t xml:space="preserve">← Jalon S3</t>
  </si>
  <si>
    <t xml:space="preserve">S4</t>
  </si>
  <si>
    <t xml:space="preserve">S5</t>
  </si>
  <si>
    <t xml:space="preserve">← Jalon S6</t>
  </si>
  <si>
    <t xml:space="preserve">S7</t>
  </si>
  <si>
    <t xml:space="preserve">S8</t>
  </si>
  <si>
    <t xml:space="preserve">← Jalon S9</t>
  </si>
  <si>
    <t xml:space="preserve">Lecture du tableau : « Utilisateurs actifs » et « Marchands actifs » sont des compteurs cumulés (combien sont actifs à un instant donné) ; « Transactions cumulées » et « GMV cumulée » sont des compteurs qui s'additionnent semaine après semaine DEPUIS LE LANCEMENT (S0 sert de référence pré-lancement et n'est pas comptée dans le cumul).</t>
  </si>
  <si>
    <t xml:space="preserve">GREENFLAME — Valorisation par jalon (traction projetée + repères de négociation)</t>
  </si>
  <si>
    <t xml:space="preserve">Les colonnes « traction » sont calculées depuis l'onglet Projection. Les colonnes « pré-money » viennent des repères que vous avez fixés dans l'onglet Hypothèses (section D, en jaune) — ce sont des ancres de discussion, pas des verdicts.</t>
  </si>
  <si>
    <t xml:space="preserve">Repère
temporel</t>
  </si>
  <si>
    <t xml:space="preserve">Utilisateurs actifs
cumulés</t>
  </si>
  <si>
    <t xml:space="preserve">Marchands actifs
cumulés</t>
  </si>
  <si>
    <t xml:space="preserve">Transactions
cumulées</t>
  </si>
  <si>
    <t xml:space="preserve">GMV annualisée
(USD) *</t>
  </si>
  <si>
    <t xml:space="preserve">Pré-money
bas (USD)</t>
  </si>
  <si>
    <t xml:space="preserve">Pré-money
médian (USD)</t>
  </si>
  <si>
    <t xml:space="preserve">Pré-money
haut (USD)</t>
  </si>
  <si>
    <t xml:space="preserve">Multiple
implicite **</t>
  </si>
  <si>
    <t xml:space="preserve">Avant lancement</t>
  </si>
  <si>
    <t xml:space="preserve">—</t>
  </si>
  <si>
    <t xml:space="preserve">S3 — fin du pilote initial</t>
  </si>
  <si>
    <t xml:space="preserve">Semaine 3</t>
  </si>
  <si>
    <t xml:space="preserve">S6 — montée en puissance</t>
  </si>
  <si>
    <t xml:space="preserve">Semaine 6</t>
  </si>
  <si>
    <t xml:space="preserve">S9 — un trimestre d'activité</t>
  </si>
  <si>
    <t xml:space="preserve">Semaine 9</t>
  </si>
  <si>
    <t xml:space="preserve">* GMV annualisée = GMV cumulée × (52 semaines ÷ nombre de semaines écoulées depuis le lancement). Sert uniquement de point de comparaison à un instant T — ce n'est pas une prévision de l'activité sur l'année complète.</t>
  </si>
  <si>
    <t xml:space="preserve">** Multiple implicite = pré-money médian ÷ GMV annualisée. C'est un simple ratio de cohérence : il indique, à titre de recoupement, combien de fois la valorisation médiane représente le rythme d'affaires annualisé observé à ce stade. Les multiples observés sur des plateformes early-stage varient énormément — souvent bien au-delà de 1x, car la valorisation reflète surtout le potentiel futur et non l'activité du moment. Ce ratio sert à vérifier que la fourchette proposée n'est pas déconnectée de la réalité opérationnelle ; il ne sert pas à la déterminer.</t>
  </si>
  <si>
    <t xml:space="preserve">Rappel : ces fourchettes de pré-money sont des ancres de négociation construites par décomposition qualitative — à faire valider par un professionnel (conseiller juridique déjà sous contrat, expert-comptable, spécialiste de la valorisation) avant toute intégration dans un contrat d'association ou une discussion investisseur formelle.</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</si>
</sst>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quot; FCFA&quot;"/>
    <numFmt numFmtId="169" formatCode="\$#,##0"/>
    <numFmt numFmtId="170" formatCode="0.00\x"/>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6B7280"/>
      <name val="Arial"/>
      <family val="0"/>
      <charset val="1"/>
    </font>
    <font>
      <b val="true"/>
      <sz val="11"/>
      <color rgb="FF166534"/>
      <name val="Arial"/>
      <family val="0"/>
      <charset val="1"/>
    </font>
    <font>
      <sz val="10"/>
      <color rgb="FF111827"/>
      <name val="Arial"/>
      <family val="0"/>
      <charset val="1"/>
    </font>
    <font>
      <b val="true"/>
      <sz val="10.5"/>
      <color rgb="FF0000FF"/>
      <name val="Arial"/>
      <family val="0"/>
      <charset val="1"/>
    </font>
    <font>
      <b val="true"/>
      <sz val="10"/>
      <color rgb="FFFFFFFF"/>
      <name val="Arial"/>
      <family val="0"/>
      <charset val="1"/>
    </font>
    <font>
      <b val="true"/>
      <sz val="10"/>
      <color rgb="FF111827"/>
      <name val="Arial"/>
      <family val="0"/>
      <charset val="1"/>
    </font>
    <font>
      <i val="true"/>
      <sz val="9.5"/>
      <color rgb="FF6B7280"/>
      <name val="Arial"/>
      <family val="0"/>
      <charset val="1"/>
    </font>
    <font>
      <b val="true"/>
      <sz val="9.5"/>
      <color rgb="FF111827"/>
      <name val="Arial"/>
      <family val="0"/>
      <charset val="1"/>
    </font>
    <font>
      <b val="true"/>
      <sz val="9.5"/>
      <color rgb="FFFFFFFF"/>
      <name val="Arial"/>
      <family val="0"/>
      <charset val="1"/>
    </font>
  </fonts>
  <fills count="9">
    <fill>
      <patternFill patternType="none"/>
    </fill>
    <fill>
      <patternFill patternType="gray125"/>
    </fill>
    <fill>
      <patternFill patternType="solid">
        <fgColor rgb="FF166534"/>
        <bgColor rgb="FF008080"/>
      </patternFill>
    </fill>
    <fill>
      <patternFill patternType="solid">
        <fgColor rgb="FFF0FDF4"/>
        <bgColor rgb="FFFFFFFF"/>
      </patternFill>
    </fill>
    <fill>
      <patternFill patternType="solid">
        <fgColor rgb="FF16A34A"/>
        <bgColor rgb="FF008080"/>
      </patternFill>
    </fill>
    <fill>
      <patternFill patternType="solid">
        <fgColor rgb="FFFFFF00"/>
        <bgColor rgb="FFFFFF00"/>
      </patternFill>
    </fill>
    <fill>
      <patternFill patternType="solid">
        <fgColor rgb="FFE5E7EB"/>
        <bgColor rgb="FFF0FDF4"/>
      </patternFill>
    </fill>
    <fill>
      <patternFill patternType="solid">
        <fgColor rgb="FFBBF7D0"/>
        <bgColor rgb="FFCCFFFF"/>
      </patternFill>
    </fill>
    <fill>
      <patternFill patternType="solid">
        <fgColor rgb="FF86EFAC"/>
        <bgColor rgb="FFBBF7D0"/>
      </patternFill>
    </fill>
  </fills>
  <borders count="2">
    <border diagonalUp="false" diagonalDown="false">
      <left/>
      <right/>
      <top/>
      <bottom/>
      <diagonal/>
    </border>
    <border diagonalUp="false" diagonalDown="false">
      <left style="thin">
        <color rgb="FFBBF7D0"/>
      </left>
      <right style="thin">
        <color rgb="FFBBF7D0"/>
      </right>
      <top style="thin">
        <color rgb="FFBBF7D0"/>
      </top>
      <bottom style="thin">
        <color rgb="FFBBF7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9" fontId="8" fillId="5"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0C0C0"/>
      <rgbColor rgb="FF808080"/>
      <rgbColor rgb="FF9999FF"/>
      <rgbColor rgb="FF993366"/>
      <rgbColor rgb="FFF0FDF4"/>
      <rgbColor rgb="FFE5E7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BF7D0"/>
      <rgbColor rgb="FFFFFF99"/>
      <rgbColor rgb="FF86EFAC"/>
      <rgbColor rgb="FFFF99CC"/>
      <rgbColor rgb="FFCC99FF"/>
      <rgbColor rgb="FFFFCC99"/>
      <rgbColor rgb="FF3366FF"/>
      <rgbColor rgb="FF33CCCC"/>
      <rgbColor rgb="FF99CC00"/>
      <rgbColor rgb="FFFFCC00"/>
      <rgbColor rgb="FFFF9900"/>
      <rgbColor rgb="FFFF6600"/>
      <rgbColor rgb="FF6B7280"/>
      <rgbColor rgb="FF969696"/>
      <rgbColor rgb="FF003366"/>
      <rgbColor rgb="FF16A34A"/>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4"/>
    <col collapsed="false" customWidth="true" hidden="false" outlineLevel="0" max="4" min="2" style="0" width="18"/>
  </cols>
  <sheetData>
    <row r="1" customFormat="false" ht="31.5" hidden="false" customHeight="true" outlineLevel="0" collapsed="false">
      <c r="A1" s="1" t="s">
        <v>0</v>
      </c>
      <c r="B1" s="1"/>
      <c r="C1" s="1"/>
      <c r="D1" s="1"/>
    </row>
    <row r="2" customFormat="false" ht="45.75" hidden="false" customHeight="true" outlineLevel="0" collapsed="false">
      <c r="A2" s="2" t="s">
        <v>1</v>
      </c>
      <c r="B2" s="2"/>
      <c r="C2" s="2"/>
      <c r="D2" s="2"/>
    </row>
    <row r="4" customFormat="false" ht="27.75" hidden="false" customHeight="true" outlineLevel="0" collapsed="false">
      <c r="A4" s="3" t="s">
        <v>2</v>
      </c>
      <c r="B4" s="3"/>
      <c r="C4" s="3"/>
      <c r="D4" s="3"/>
    </row>
    <row r="5" customFormat="false" ht="30" hidden="false" customHeight="true" outlineLevel="0" collapsed="false">
      <c r="A5" s="4" t="s">
        <v>3</v>
      </c>
      <c r="B5" s="5" t="n">
        <v>10</v>
      </c>
    </row>
    <row r="6" customFormat="false" ht="30" hidden="false" customHeight="true" outlineLevel="0" collapsed="false">
      <c r="A6" s="4" t="s">
        <v>4</v>
      </c>
      <c r="B6" s="5" t="n">
        <v>100</v>
      </c>
    </row>
    <row r="7" customFormat="false" ht="30" hidden="false" customHeight="true" outlineLevel="0" collapsed="false">
      <c r="A7" s="4" t="s">
        <v>5</v>
      </c>
      <c r="B7" s="6" t="n">
        <v>1.5</v>
      </c>
    </row>
    <row r="8" customFormat="false" ht="30" hidden="false" customHeight="true" outlineLevel="0" collapsed="false">
      <c r="A8" s="4" t="s">
        <v>6</v>
      </c>
      <c r="B8" s="6" t="n">
        <v>0.45</v>
      </c>
    </row>
    <row r="9" customFormat="false" ht="30" hidden="false" customHeight="true" outlineLevel="0" collapsed="false">
      <c r="A9" s="4" t="s">
        <v>7</v>
      </c>
      <c r="B9" s="6" t="n">
        <v>0.19</v>
      </c>
    </row>
    <row r="11" customFormat="false" ht="27.75" hidden="false" customHeight="true" outlineLevel="0" collapsed="false">
      <c r="A11" s="3" t="s">
        <v>8</v>
      </c>
      <c r="B11" s="3"/>
      <c r="C11" s="3"/>
      <c r="D11" s="3"/>
    </row>
    <row r="12" customFormat="false" ht="30" hidden="false" customHeight="true" outlineLevel="0" collapsed="false">
      <c r="A12" s="4" t="s">
        <v>9</v>
      </c>
      <c r="B12" s="5" t="n">
        <v>5</v>
      </c>
    </row>
    <row r="13" customFormat="false" ht="30" hidden="false" customHeight="true" outlineLevel="0" collapsed="false">
      <c r="A13" s="4" t="s">
        <v>10</v>
      </c>
      <c r="B13" s="6" t="n">
        <v>1.35</v>
      </c>
    </row>
    <row r="14" customFormat="false" ht="30" hidden="false" customHeight="true" outlineLevel="0" collapsed="false">
      <c r="A14" s="4" t="s">
        <v>11</v>
      </c>
      <c r="B14" s="6" t="n">
        <v>0.32</v>
      </c>
    </row>
    <row r="15" customFormat="false" ht="30" hidden="false" customHeight="true" outlineLevel="0" collapsed="false">
      <c r="A15" s="4" t="s">
        <v>7</v>
      </c>
      <c r="B15" s="6" t="n">
        <v>0.22</v>
      </c>
    </row>
    <row r="17" customFormat="false" ht="27.75" hidden="false" customHeight="true" outlineLevel="0" collapsed="false">
      <c r="A17" s="3" t="s">
        <v>12</v>
      </c>
      <c r="B17" s="3"/>
      <c r="C17" s="3"/>
      <c r="D17" s="3"/>
    </row>
    <row r="18" customFormat="false" ht="30" hidden="false" customHeight="true" outlineLevel="0" collapsed="false">
      <c r="A18" s="4" t="s">
        <v>13</v>
      </c>
      <c r="B18" s="7" t="n">
        <v>1.2</v>
      </c>
    </row>
    <row r="19" customFormat="false" ht="30" hidden="false" customHeight="true" outlineLevel="0" collapsed="false">
      <c r="A19" s="4" t="s">
        <v>14</v>
      </c>
      <c r="B19" s="7" t="n">
        <v>6</v>
      </c>
    </row>
    <row r="20" customFormat="false" ht="30" hidden="false" customHeight="true" outlineLevel="0" collapsed="false">
      <c r="A20" s="4" t="s">
        <v>15</v>
      </c>
      <c r="B20" s="8" t="n">
        <v>3000</v>
      </c>
    </row>
    <row r="21" customFormat="false" ht="30" hidden="false" customHeight="true" outlineLevel="0" collapsed="false">
      <c r="A21" s="4" t="s">
        <v>16</v>
      </c>
      <c r="B21" s="5" t="n">
        <v>600</v>
      </c>
    </row>
    <row r="23" customFormat="false" ht="27.75" hidden="false" customHeight="true" outlineLevel="0" collapsed="false">
      <c r="A23" s="3" t="s">
        <v>17</v>
      </c>
      <c r="B23" s="3"/>
      <c r="C23" s="3"/>
      <c r="D23" s="3"/>
    </row>
    <row r="24" customFormat="false" ht="24" hidden="false" customHeight="true" outlineLevel="0" collapsed="false">
      <c r="A24" s="9" t="s">
        <v>18</v>
      </c>
      <c r="B24" s="9" t="s">
        <v>19</v>
      </c>
      <c r="C24" s="9" t="s">
        <v>20</v>
      </c>
      <c r="D24" s="9" t="s">
        <v>21</v>
      </c>
    </row>
    <row r="25" customFormat="false" ht="21.75" hidden="false" customHeight="true" outlineLevel="0" collapsed="false">
      <c r="A25" s="10" t="s">
        <v>22</v>
      </c>
      <c r="B25" s="11" t="n">
        <v>150000</v>
      </c>
      <c r="C25" s="11" t="n">
        <v>250000</v>
      </c>
      <c r="D25" s="11" t="n">
        <v>500000</v>
      </c>
    </row>
    <row r="26" customFormat="false" ht="21.75" hidden="false" customHeight="true" outlineLevel="0" collapsed="false">
      <c r="A26" s="10" t="s">
        <v>23</v>
      </c>
      <c r="B26" s="11" t="n">
        <v>300000</v>
      </c>
      <c r="C26" s="11" t="n">
        <v>450000</v>
      </c>
      <c r="D26" s="11" t="n">
        <v>700000</v>
      </c>
    </row>
    <row r="27" customFormat="false" ht="21.75" hidden="false" customHeight="true" outlineLevel="0" collapsed="false">
      <c r="A27" s="10" t="s">
        <v>24</v>
      </c>
      <c r="B27" s="11" t="n">
        <v>500000</v>
      </c>
      <c r="C27" s="11" t="n">
        <v>750000</v>
      </c>
      <c r="D27" s="11" t="n">
        <v>1200000</v>
      </c>
    </row>
    <row r="28" customFormat="false" ht="21.75" hidden="false" customHeight="true" outlineLevel="0" collapsed="false">
      <c r="A28" s="10" t="s">
        <v>25</v>
      </c>
      <c r="B28" s="11" t="n">
        <v>800000</v>
      </c>
      <c r="C28" s="11" t="n">
        <v>1300000</v>
      </c>
      <c r="D28" s="11" t="n">
        <v>2000000</v>
      </c>
    </row>
    <row r="30" customFormat="false" ht="15.75" hidden="false" customHeight="true" outlineLevel="0" collapsed="false">
      <c r="A30" s="12"/>
      <c r="B30" s="12"/>
      <c r="C30" s="12"/>
      <c r="D30" s="12"/>
    </row>
    <row r="31" customFormat="false" ht="45.75" hidden="false" customHeight="true" outlineLevel="0" collapsed="false">
      <c r="A31" s="13" t="s">
        <v>26</v>
      </c>
      <c r="B31" s="13"/>
      <c r="C31" s="13"/>
      <c r="D31" s="13"/>
    </row>
    <row r="32" customFormat="false" ht="45.75" hidden="false" customHeight="true" outlineLevel="0" collapsed="false">
      <c r="A32" s="13" t="s">
        <v>27</v>
      </c>
      <c r="B32" s="13"/>
      <c r="C32" s="13"/>
      <c r="D32" s="13"/>
    </row>
    <row r="33" customFormat="false" ht="45.75" hidden="false" customHeight="true" outlineLevel="0" collapsed="false">
      <c r="A33" s="13" t="s">
        <v>28</v>
      </c>
      <c r="B33" s="13"/>
      <c r="C33" s="13"/>
      <c r="D33" s="13"/>
    </row>
    <row r="34" customFormat="false" ht="45.75" hidden="false" customHeight="true" outlineLevel="0" collapsed="false">
      <c r="A34" s="13" t="s">
        <v>29</v>
      </c>
      <c r="B34" s="13"/>
      <c r="C34" s="13"/>
      <c r="D34" s="13"/>
    </row>
    <row r="35" customFormat="false" ht="15.75" hidden="false" customHeight="true" outlineLevel="0" collapsed="false">
      <c r="A35" s="12"/>
      <c r="B35" s="12"/>
      <c r="C35" s="12"/>
      <c r="D35" s="12"/>
    </row>
  </sheetData>
  <mergeCells count="12">
    <mergeCell ref="A1:D1"/>
    <mergeCell ref="A2:D2"/>
    <mergeCell ref="A4:D4"/>
    <mergeCell ref="A11:D11"/>
    <mergeCell ref="A17:D17"/>
    <mergeCell ref="A23:D23"/>
    <mergeCell ref="A30:D30"/>
    <mergeCell ref="A31:D31"/>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4" min="3" style="0" width="16"/>
    <col collapsed="false" customWidth="true" hidden="false" outlineLevel="0" max="5" min="5" style="0" width="14"/>
    <col collapsed="false" customWidth="true" hidden="false" outlineLevel="0" max="6" min="6" style="0" width="18"/>
    <col collapsed="false" customWidth="true" hidden="false" outlineLevel="0" max="9" min="7" style="0" width="16"/>
  </cols>
  <sheetData>
    <row r="1" customFormat="false" ht="31.5" hidden="false" customHeight="true" outlineLevel="0" collapsed="false">
      <c r="A1" s="1" t="s">
        <v>30</v>
      </c>
      <c r="B1" s="1"/>
      <c r="C1" s="1"/>
      <c r="D1" s="1"/>
      <c r="E1" s="1"/>
      <c r="F1" s="1"/>
      <c r="G1" s="1"/>
      <c r="H1" s="1"/>
      <c r="I1" s="1"/>
    </row>
    <row r="2" customFormat="false" ht="33.75" hidden="false" customHeight="true" outlineLevel="0" collapsed="false">
      <c r="A2" s="2" t="s">
        <v>31</v>
      </c>
      <c r="B2" s="2"/>
      <c r="C2" s="2"/>
      <c r="D2" s="2"/>
      <c r="E2" s="2"/>
      <c r="F2" s="2"/>
      <c r="G2" s="2"/>
      <c r="H2" s="2"/>
      <c r="I2" s="2"/>
    </row>
    <row r="4" customFormat="false" ht="45.75" hidden="false" customHeight="true" outlineLevel="0" collapsed="false">
      <c r="A4" s="14" t="s">
        <v>32</v>
      </c>
      <c r="B4" s="14" t="s">
        <v>33</v>
      </c>
      <c r="C4" s="14" t="s">
        <v>34</v>
      </c>
      <c r="D4" s="14" t="s">
        <v>35</v>
      </c>
      <c r="E4" s="14" t="s">
        <v>36</v>
      </c>
      <c r="F4" s="14" t="s">
        <v>37</v>
      </c>
      <c r="G4" s="14" t="s">
        <v>38</v>
      </c>
      <c r="H4" s="14" t="s">
        <v>39</v>
      </c>
      <c r="I4" s="14" t="s">
        <v>40</v>
      </c>
    </row>
    <row r="5" customFormat="false" ht="24" hidden="false" customHeight="true" outlineLevel="0" collapsed="false">
      <c r="A5" s="15" t="s">
        <v>41</v>
      </c>
      <c r="B5" s="16" t="s">
        <v>42</v>
      </c>
      <c r="C5" s="17" t="n">
        <f aca="false">Hypothèses!B5</f>
        <v>10</v>
      </c>
      <c r="D5" s="17" t="n">
        <f aca="false">Hypothèses!B12</f>
        <v>5</v>
      </c>
      <c r="E5" s="17" t="n">
        <f aca="false">C5*Hypothèses!$B$18+D5*Hypothèses!$B$19</f>
        <v>42</v>
      </c>
      <c r="F5" s="17" t="n">
        <v>0</v>
      </c>
      <c r="G5" s="18" t="n">
        <f aca="false">E5*Hypothèses!$B$20</f>
        <v>126000</v>
      </c>
      <c r="H5" s="18" t="n">
        <v>0</v>
      </c>
      <c r="I5" s="19" t="n">
        <f aca="false">H5/Hypothèses!$B$21</f>
        <v>0</v>
      </c>
    </row>
    <row r="6" customFormat="false" ht="24" hidden="false" customHeight="true" outlineLevel="0" collapsed="false">
      <c r="A6" s="20" t="s">
        <v>43</v>
      </c>
      <c r="B6" s="21"/>
      <c r="C6" s="17" t="n">
        <f aca="false">C5+Hypothèses!B6</f>
        <v>110</v>
      </c>
      <c r="D6" s="17" t="n">
        <f aca="false">D5*(1+Hypothèses!B13)</f>
        <v>11.75</v>
      </c>
      <c r="E6" s="17" t="n">
        <f aca="false">C6*Hypothèses!$B$18+D6*Hypothèses!$B$19</f>
        <v>202.5</v>
      </c>
      <c r="F6" s="17" t="n">
        <f aca="false">F5+E6</f>
        <v>202.5</v>
      </c>
      <c r="G6" s="18" t="n">
        <f aca="false">E6*Hypothèses!$B$20</f>
        <v>607500</v>
      </c>
      <c r="H6" s="18" t="n">
        <f aca="false">H5+G6</f>
        <v>607500</v>
      </c>
      <c r="I6" s="19" t="n">
        <f aca="false">H6/Hypothèses!$B$21</f>
        <v>1012.5</v>
      </c>
    </row>
    <row r="7" customFormat="false" ht="24" hidden="false" customHeight="true" outlineLevel="0" collapsed="false">
      <c r="A7" s="20" t="s">
        <v>44</v>
      </c>
      <c r="B7" s="21"/>
      <c r="C7" s="17" t="n">
        <f aca="false">C6*(1+Hypothèses!B7)</f>
        <v>275</v>
      </c>
      <c r="D7" s="17" t="n">
        <f aca="false">D6*(1+Hypothèses!B13)</f>
        <v>27.6125</v>
      </c>
      <c r="E7" s="17" t="n">
        <f aca="false">C7*Hypothèses!$B$18+D7*Hypothèses!$B$19</f>
        <v>495.675</v>
      </c>
      <c r="F7" s="17" t="n">
        <f aca="false">F6+E7</f>
        <v>698.175</v>
      </c>
      <c r="G7" s="18" t="n">
        <f aca="false">E7*Hypothèses!$B$20</f>
        <v>1487025</v>
      </c>
      <c r="H7" s="18" t="n">
        <f aca="false">H6+G7</f>
        <v>2094525</v>
      </c>
      <c r="I7" s="19" t="n">
        <f aca="false">H7/Hypothèses!$B$21</f>
        <v>3490.875</v>
      </c>
    </row>
    <row r="8" customFormat="false" ht="24" hidden="false" customHeight="true" outlineLevel="0" collapsed="false">
      <c r="A8" s="22" t="s">
        <v>23</v>
      </c>
      <c r="B8" s="23" t="s">
        <v>45</v>
      </c>
      <c r="C8" s="17" t="n">
        <f aca="false">C7*(1+Hypothèses!B7)</f>
        <v>687.5</v>
      </c>
      <c r="D8" s="17" t="n">
        <f aca="false">D7*(1+Hypothèses!B13)</f>
        <v>64.889375</v>
      </c>
      <c r="E8" s="17" t="n">
        <f aca="false">C8*Hypothèses!$B$18+D8*Hypothèses!$B$19</f>
        <v>1214.33625</v>
      </c>
      <c r="F8" s="17" t="n">
        <f aca="false">F7+E8</f>
        <v>1912.51125</v>
      </c>
      <c r="G8" s="18" t="n">
        <f aca="false">E8*Hypothèses!$B$20</f>
        <v>3643008.75</v>
      </c>
      <c r="H8" s="18" t="n">
        <f aca="false">H7+G8</f>
        <v>5737533.75</v>
      </c>
      <c r="I8" s="19" t="n">
        <f aca="false">H8/Hypothèses!$B$21</f>
        <v>9562.55625</v>
      </c>
    </row>
    <row r="9" customFormat="false" ht="24" hidden="false" customHeight="true" outlineLevel="0" collapsed="false">
      <c r="A9" s="20" t="s">
        <v>46</v>
      </c>
      <c r="B9" s="21"/>
      <c r="C9" s="17" t="n">
        <f aca="false">C8*(1+Hypothèses!B8)</f>
        <v>996.875</v>
      </c>
      <c r="D9" s="17" t="n">
        <f aca="false">D8*(1+Hypothèses!B14)</f>
        <v>85.653975</v>
      </c>
      <c r="E9" s="17" t="n">
        <f aca="false">C9*Hypothèses!$B$18+D9*Hypothèses!$B$19</f>
        <v>1710.17385</v>
      </c>
      <c r="F9" s="17" t="n">
        <f aca="false">F8+E9</f>
        <v>3622.6851</v>
      </c>
      <c r="G9" s="18" t="n">
        <f aca="false">E9*Hypothèses!$B$20</f>
        <v>5130521.55</v>
      </c>
      <c r="H9" s="18" t="n">
        <f aca="false">H8+G9</f>
        <v>10868055.3</v>
      </c>
      <c r="I9" s="19" t="n">
        <f aca="false">H9/Hypothèses!$B$21</f>
        <v>18113.4255</v>
      </c>
    </row>
    <row r="10" customFormat="false" ht="24" hidden="false" customHeight="true" outlineLevel="0" collapsed="false">
      <c r="A10" s="20" t="s">
        <v>47</v>
      </c>
      <c r="B10" s="21"/>
      <c r="C10" s="17" t="n">
        <f aca="false">C9*(1+Hypothèses!B8)</f>
        <v>1445.46875</v>
      </c>
      <c r="D10" s="17" t="n">
        <f aca="false">D9*(1+Hypothèses!B14)</f>
        <v>113.063247</v>
      </c>
      <c r="E10" s="17" t="n">
        <f aca="false">C10*Hypothèses!$B$18+D10*Hypothèses!$B$19</f>
        <v>2412.941982</v>
      </c>
      <c r="F10" s="17" t="n">
        <f aca="false">F9+E10</f>
        <v>6035.627082</v>
      </c>
      <c r="G10" s="18" t="n">
        <f aca="false">E10*Hypothèses!$B$20</f>
        <v>7238825.946</v>
      </c>
      <c r="H10" s="18" t="n">
        <f aca="false">H9+G10</f>
        <v>18106881.246</v>
      </c>
      <c r="I10" s="19" t="n">
        <f aca="false">H10/Hypothèses!$B$21</f>
        <v>30178.13541</v>
      </c>
    </row>
    <row r="11" customFormat="false" ht="24" hidden="false" customHeight="true" outlineLevel="0" collapsed="false">
      <c r="A11" s="24" t="s">
        <v>24</v>
      </c>
      <c r="B11" s="25" t="s">
        <v>48</v>
      </c>
      <c r="C11" s="17" t="n">
        <f aca="false">C10*(1+Hypothèses!B8)</f>
        <v>2095.9296875</v>
      </c>
      <c r="D11" s="17" t="n">
        <f aca="false">D10*(1+Hypothèses!B14)</f>
        <v>149.24348604</v>
      </c>
      <c r="E11" s="17" t="n">
        <f aca="false">C11*Hypothèses!$B$18+D11*Hypothèses!$B$19</f>
        <v>3410.57654124</v>
      </c>
      <c r="F11" s="17" t="n">
        <f aca="false">F10+E11</f>
        <v>9446.20362324</v>
      </c>
      <c r="G11" s="18" t="n">
        <f aca="false">E11*Hypothèses!$B$20</f>
        <v>10231729.62372</v>
      </c>
      <c r="H11" s="18" t="n">
        <f aca="false">H10+G11</f>
        <v>28338610.86972</v>
      </c>
      <c r="I11" s="19" t="n">
        <f aca="false">H11/Hypothèses!$B$21</f>
        <v>47231.0181162</v>
      </c>
    </row>
    <row r="12" customFormat="false" ht="24" hidden="false" customHeight="true" outlineLevel="0" collapsed="false">
      <c r="A12" s="20" t="s">
        <v>49</v>
      </c>
      <c r="B12" s="21"/>
      <c r="C12" s="17" t="n">
        <f aca="false">C11*(1+Hypothèses!B9)</f>
        <v>2494.156328125</v>
      </c>
      <c r="D12" s="17" t="n">
        <f aca="false">D11*(1+Hypothèses!B15)</f>
        <v>182.0770529688</v>
      </c>
      <c r="E12" s="17" t="n">
        <f aca="false">C12*Hypothèses!$B$18+D12*Hypothèses!$B$19</f>
        <v>4085.4499115628</v>
      </c>
      <c r="F12" s="17" t="n">
        <f aca="false">F11+E12</f>
        <v>13531.6535348028</v>
      </c>
      <c r="G12" s="18" t="n">
        <f aca="false">E12*Hypothèses!$B$20</f>
        <v>12256349.7346884</v>
      </c>
      <c r="H12" s="18" t="n">
        <f aca="false">H11+G12</f>
        <v>40594960.6044084</v>
      </c>
      <c r="I12" s="19" t="n">
        <f aca="false">H12/Hypothèses!$B$21</f>
        <v>67658.267674014</v>
      </c>
    </row>
    <row r="13" customFormat="false" ht="24" hidden="false" customHeight="true" outlineLevel="0" collapsed="false">
      <c r="A13" s="20" t="s">
        <v>50</v>
      </c>
      <c r="B13" s="21"/>
      <c r="C13" s="17" t="n">
        <f aca="false">C12*(1+Hypothèses!B9)</f>
        <v>2968.04603046875</v>
      </c>
      <c r="D13" s="17" t="n">
        <f aca="false">D12*(1+Hypothèses!B15)</f>
        <v>222.134004621936</v>
      </c>
      <c r="E13" s="17" t="n">
        <f aca="false">C13*Hypothèses!$B$18+D13*Hypothèses!$B$19</f>
        <v>4894.45926429412</v>
      </c>
      <c r="F13" s="17" t="n">
        <f aca="false">F12+E13</f>
        <v>18426.1127990969</v>
      </c>
      <c r="G13" s="18" t="n">
        <f aca="false">E13*Hypothèses!$B$20</f>
        <v>14683377.7928823</v>
      </c>
      <c r="H13" s="18" t="n">
        <f aca="false">H12+G13</f>
        <v>55278338.3972907</v>
      </c>
      <c r="I13" s="19" t="n">
        <f aca="false">H13/Hypothèses!$B$21</f>
        <v>92130.5639954846</v>
      </c>
    </row>
    <row r="14" customFormat="false" ht="24" hidden="false" customHeight="true" outlineLevel="0" collapsed="false">
      <c r="A14" s="26" t="s">
        <v>25</v>
      </c>
      <c r="B14" s="27" t="s">
        <v>51</v>
      </c>
      <c r="C14" s="17" t="n">
        <f aca="false">C13*(1+Hypothèses!B9)</f>
        <v>3531.97477625781</v>
      </c>
      <c r="D14" s="17" t="n">
        <f aca="false">D13*(1+Hypothèses!B15)</f>
        <v>271.003485638762</v>
      </c>
      <c r="E14" s="17" t="n">
        <f aca="false">C14*Hypothèses!$B$18+D14*Hypothèses!$B$19</f>
        <v>5864.39064534195</v>
      </c>
      <c r="F14" s="17" t="n">
        <f aca="false">F13+E14</f>
        <v>24290.5034444389</v>
      </c>
      <c r="G14" s="18" t="n">
        <f aca="false">E14*Hypothèses!$B$20</f>
        <v>17593171.9360258</v>
      </c>
      <c r="H14" s="18" t="n">
        <f aca="false">H13+G14</f>
        <v>72871510.3333166</v>
      </c>
      <c r="I14" s="19" t="n">
        <f aca="false">H14/Hypothèses!$B$21</f>
        <v>121452.517222194</v>
      </c>
    </row>
    <row r="16" customFormat="false" ht="15.75" hidden="false" customHeight="true" outlineLevel="0" collapsed="false">
      <c r="A16" s="12"/>
      <c r="B16" s="12"/>
      <c r="C16" s="12"/>
      <c r="D16" s="12"/>
      <c r="E16" s="12"/>
      <c r="F16" s="12"/>
      <c r="G16" s="12"/>
      <c r="H16" s="12"/>
      <c r="I16" s="12"/>
    </row>
    <row r="17" customFormat="false" ht="45.75" hidden="false" customHeight="true" outlineLevel="0" collapsed="false">
      <c r="A17" s="12" t="s">
        <v>52</v>
      </c>
      <c r="B17" s="12"/>
      <c r="C17" s="12"/>
      <c r="D17" s="12"/>
      <c r="E17" s="12"/>
      <c r="F17" s="12"/>
      <c r="G17" s="12"/>
      <c r="H17" s="12"/>
      <c r="I17" s="12"/>
    </row>
  </sheetData>
  <mergeCells count="4">
    <mergeCell ref="A1:I1"/>
    <mergeCell ref="A2:I2"/>
    <mergeCell ref="A16:I16"/>
    <mergeCell ref="A17:I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4" min="3" style="0" width="15"/>
    <col collapsed="false" customWidth="true" hidden="false" outlineLevel="0" max="5" min="5" style="0" width="13"/>
    <col collapsed="false" customWidth="true" hidden="false" outlineLevel="0" max="6" min="6" style="0" width="16"/>
    <col collapsed="false" customWidth="true" hidden="false" outlineLevel="0" max="7" min="7" style="0" width="14"/>
    <col collapsed="false" customWidth="true" hidden="false" outlineLevel="0" max="8" min="8" style="0" width="16"/>
    <col collapsed="false" customWidth="true" hidden="false" outlineLevel="0" max="9" min="9" style="0" width="14"/>
    <col collapsed="false" customWidth="true" hidden="false" outlineLevel="0" max="10" min="10" style="0" width="16"/>
    <col collapsed="false" customWidth="true" hidden="false" outlineLevel="0" max="11" min="11" style="0" width="14"/>
    <col collapsed="false" customWidth="true" hidden="false" outlineLevel="0" max="12" min="12" style="0" width="12"/>
  </cols>
  <sheetData>
    <row r="1" customFormat="false" ht="31.5" hidden="false" customHeight="true" outlineLevel="0" collapsed="false">
      <c r="A1" s="1" t="s">
        <v>53</v>
      </c>
      <c r="B1" s="1"/>
      <c r="C1" s="1"/>
      <c r="D1" s="1"/>
      <c r="E1" s="1"/>
      <c r="F1" s="1"/>
      <c r="G1" s="1"/>
      <c r="H1" s="1"/>
      <c r="I1" s="1"/>
      <c r="J1" s="1"/>
      <c r="K1" s="1"/>
      <c r="L1" s="1"/>
    </row>
    <row r="2" customFormat="false" ht="45.75" hidden="false" customHeight="true" outlineLevel="0" collapsed="false">
      <c r="A2" s="2" t="s">
        <v>54</v>
      </c>
      <c r="B2" s="2"/>
      <c r="C2" s="2"/>
      <c r="D2" s="2"/>
      <c r="E2" s="2"/>
      <c r="F2" s="2"/>
      <c r="G2" s="2"/>
      <c r="H2" s="2"/>
      <c r="I2" s="2"/>
      <c r="J2" s="2"/>
      <c r="K2" s="2"/>
      <c r="L2" s="2"/>
    </row>
    <row r="4" customFormat="false" ht="49.5" hidden="false" customHeight="true" outlineLevel="0" collapsed="false">
      <c r="A4" s="28" t="s">
        <v>18</v>
      </c>
      <c r="B4" s="28" t="s">
        <v>55</v>
      </c>
      <c r="C4" s="28" t="s">
        <v>56</v>
      </c>
      <c r="D4" s="28" t="s">
        <v>57</v>
      </c>
      <c r="E4" s="28" t="s">
        <v>58</v>
      </c>
      <c r="F4" s="28" t="s">
        <v>39</v>
      </c>
      <c r="G4" s="28" t="s">
        <v>40</v>
      </c>
      <c r="H4" s="28" t="s">
        <v>59</v>
      </c>
      <c r="I4" s="28" t="s">
        <v>60</v>
      </c>
      <c r="J4" s="28" t="s">
        <v>61</v>
      </c>
      <c r="K4" s="28" t="s">
        <v>62</v>
      </c>
      <c r="L4" s="28" t="s">
        <v>63</v>
      </c>
    </row>
    <row r="5" customFormat="false" ht="25.5" hidden="false" customHeight="true" outlineLevel="0" collapsed="false">
      <c r="A5" s="10" t="s">
        <v>22</v>
      </c>
      <c r="B5" s="29" t="s">
        <v>64</v>
      </c>
      <c r="C5" s="17" t="n">
        <f aca="false">'Projection hebdomadaire'!C5</f>
        <v>10</v>
      </c>
      <c r="D5" s="17" t="n">
        <f aca="false">'Projection hebdomadaire'!D5</f>
        <v>5</v>
      </c>
      <c r="E5" s="30" t="s">
        <v>65</v>
      </c>
      <c r="F5" s="30" t="s">
        <v>65</v>
      </c>
      <c r="G5" s="30" t="s">
        <v>65</v>
      </c>
      <c r="H5" s="30" t="s">
        <v>65</v>
      </c>
      <c r="I5" s="19" t="n">
        <f aca="false">Hypothèses!B25</f>
        <v>150000</v>
      </c>
      <c r="J5" s="19" t="n">
        <f aca="false">Hypothèses!C25</f>
        <v>250000</v>
      </c>
      <c r="K5" s="19" t="n">
        <f aca="false">Hypothèses!D25</f>
        <v>500000</v>
      </c>
      <c r="L5" s="30" t="s">
        <v>65</v>
      </c>
    </row>
    <row r="6" customFormat="false" ht="25.5" hidden="false" customHeight="true" outlineLevel="0" collapsed="false">
      <c r="A6" s="10" t="s">
        <v>66</v>
      </c>
      <c r="B6" s="29" t="s">
        <v>67</v>
      </c>
      <c r="C6" s="17" t="n">
        <f aca="false">'Projection hebdomadaire'!C8</f>
        <v>687.5</v>
      </c>
      <c r="D6" s="17" t="n">
        <f aca="false">'Projection hebdomadaire'!D8</f>
        <v>64.889375</v>
      </c>
      <c r="E6" s="17" t="n">
        <f aca="false">'Projection hebdomadaire'!F8</f>
        <v>1912.51125</v>
      </c>
      <c r="F6" s="18" t="n">
        <f aca="false">'Projection hebdomadaire'!H8</f>
        <v>5737533.75</v>
      </c>
      <c r="G6" s="19" t="n">
        <f aca="false">'Projection hebdomadaire'!I8</f>
        <v>9562.55625</v>
      </c>
      <c r="H6" s="19" t="n">
        <f aca="false">G6*(52/3)</f>
        <v>165750.975</v>
      </c>
      <c r="I6" s="19" t="n">
        <f aca="false">Hypothèses!B26</f>
        <v>300000</v>
      </c>
      <c r="J6" s="19" t="n">
        <f aca="false">Hypothèses!C26</f>
        <v>450000</v>
      </c>
      <c r="K6" s="19" t="n">
        <f aca="false">Hypothèses!D26</f>
        <v>700000</v>
      </c>
      <c r="L6" s="31" t="n">
        <f aca="false">J6/H6</f>
        <v>2.71491615660179</v>
      </c>
    </row>
    <row r="7" customFormat="false" ht="25.5" hidden="false" customHeight="true" outlineLevel="0" collapsed="false">
      <c r="A7" s="10" t="s">
        <v>68</v>
      </c>
      <c r="B7" s="29" t="s">
        <v>69</v>
      </c>
      <c r="C7" s="17" t="n">
        <f aca="false">'Projection hebdomadaire'!C11</f>
        <v>2095.9296875</v>
      </c>
      <c r="D7" s="17" t="n">
        <f aca="false">'Projection hebdomadaire'!D11</f>
        <v>149.24348604</v>
      </c>
      <c r="E7" s="17" t="n">
        <f aca="false">'Projection hebdomadaire'!F11</f>
        <v>9446.20362324</v>
      </c>
      <c r="F7" s="18" t="n">
        <f aca="false">'Projection hebdomadaire'!H11</f>
        <v>28338610.86972</v>
      </c>
      <c r="G7" s="19" t="n">
        <f aca="false">'Projection hebdomadaire'!I11</f>
        <v>47231.0181162</v>
      </c>
      <c r="H7" s="19" t="n">
        <f aca="false">G7*(52/6)</f>
        <v>409335.4903404</v>
      </c>
      <c r="I7" s="19" t="n">
        <f aca="false">Hypothèses!B27</f>
        <v>500000</v>
      </c>
      <c r="J7" s="19" t="n">
        <f aca="false">Hypothèses!C27</f>
        <v>750000</v>
      </c>
      <c r="K7" s="19" t="n">
        <f aca="false">Hypothèses!D27</f>
        <v>1200000</v>
      </c>
      <c r="L7" s="31" t="n">
        <f aca="false">J7/H7</f>
        <v>1.83223790191343</v>
      </c>
    </row>
    <row r="8" customFormat="false" ht="25.5" hidden="false" customHeight="true" outlineLevel="0" collapsed="false">
      <c r="A8" s="10" t="s">
        <v>70</v>
      </c>
      <c r="B8" s="29" t="s">
        <v>71</v>
      </c>
      <c r="C8" s="17" t="n">
        <f aca="false">'Projection hebdomadaire'!C14</f>
        <v>3531.97477625781</v>
      </c>
      <c r="D8" s="17" t="n">
        <f aca="false">'Projection hebdomadaire'!D14</f>
        <v>271.003485638762</v>
      </c>
      <c r="E8" s="17" t="n">
        <f aca="false">'Projection hebdomadaire'!F14</f>
        <v>24290.5034444389</v>
      </c>
      <c r="F8" s="18" t="n">
        <f aca="false">'Projection hebdomadaire'!H14</f>
        <v>72871510.3333166</v>
      </c>
      <c r="G8" s="19" t="n">
        <f aca="false">'Projection hebdomadaire'!I14</f>
        <v>121452.517222194</v>
      </c>
      <c r="H8" s="19" t="n">
        <f aca="false">G8*(52/9)</f>
        <v>701725.655061567</v>
      </c>
      <c r="I8" s="19" t="n">
        <f aca="false">Hypothèses!B28</f>
        <v>800000</v>
      </c>
      <c r="J8" s="19" t="n">
        <f aca="false">Hypothèses!C28</f>
        <v>1300000</v>
      </c>
      <c r="K8" s="19" t="n">
        <f aca="false">Hypothèses!D28</f>
        <v>2000000</v>
      </c>
      <c r="L8" s="31" t="n">
        <f aca="false">J8/H8</f>
        <v>1.85257584730309</v>
      </c>
    </row>
    <row r="10" customFormat="false" ht="15.75" hidden="false" customHeight="true" outlineLevel="0" collapsed="false">
      <c r="A10" s="12"/>
      <c r="B10" s="12"/>
      <c r="C10" s="12"/>
      <c r="D10" s="12"/>
      <c r="E10" s="12"/>
      <c r="F10" s="12"/>
      <c r="G10" s="12"/>
      <c r="H10" s="12"/>
      <c r="I10" s="12"/>
      <c r="J10" s="12"/>
      <c r="K10" s="12"/>
      <c r="L10" s="12"/>
    </row>
    <row r="11" customFormat="false" ht="45.75" hidden="false" customHeight="true" outlineLevel="0" collapsed="false">
      <c r="A11" s="12" t="s">
        <v>72</v>
      </c>
      <c r="B11" s="12"/>
      <c r="C11" s="12"/>
      <c r="D11" s="12"/>
      <c r="E11" s="12"/>
      <c r="F11" s="12"/>
      <c r="G11" s="12"/>
      <c r="H11" s="12"/>
      <c r="I11" s="12"/>
      <c r="J11" s="12"/>
      <c r="K11" s="12"/>
      <c r="L11" s="12"/>
    </row>
    <row r="12" customFormat="false" ht="45.75" hidden="false" customHeight="true" outlineLevel="0" collapsed="false">
      <c r="A12" s="12" t="s">
        <v>73</v>
      </c>
      <c r="B12" s="12"/>
      <c r="C12" s="12"/>
      <c r="D12" s="12"/>
      <c r="E12" s="12"/>
      <c r="F12" s="12"/>
      <c r="G12" s="12"/>
      <c r="H12" s="12"/>
      <c r="I12" s="12"/>
      <c r="J12" s="12"/>
      <c r="K12" s="12"/>
      <c r="L12" s="12"/>
    </row>
    <row r="13" customFormat="false" ht="45.75" hidden="false" customHeight="true" outlineLevel="0" collapsed="false">
      <c r="A13" s="12" t="s">
        <v>74</v>
      </c>
      <c r="B13" s="12"/>
      <c r="C13" s="12"/>
      <c r="D13" s="12"/>
      <c r="E13" s="12"/>
      <c r="F13" s="12"/>
      <c r="G13" s="12"/>
      <c r="H13" s="12"/>
      <c r="I13" s="12"/>
      <c r="J13" s="12"/>
      <c r="K13" s="12"/>
      <c r="L13" s="12"/>
    </row>
    <row r="14" customFormat="false" ht="15.75" hidden="false" customHeight="true" outlineLevel="0" collapsed="false">
      <c r="A14" s="12"/>
      <c r="B14" s="12"/>
      <c r="C14" s="12"/>
      <c r="D14" s="12"/>
      <c r="E14" s="12"/>
      <c r="F14" s="12"/>
      <c r="G14" s="12"/>
      <c r="H14" s="12"/>
      <c r="I14" s="12"/>
      <c r="J14" s="12"/>
      <c r="K14" s="12"/>
      <c r="L14" s="12"/>
    </row>
  </sheetData>
  <mergeCells count="7">
    <mergeCell ref="A1:L1"/>
    <mergeCell ref="A2:L2"/>
    <mergeCell ref="A10:L10"/>
    <mergeCell ref="A11:L11"/>
    <mergeCell ref="A12:L12"/>
    <mergeCell ref="A13:L13"/>
    <mergeCell ref="A14:L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2026-06-08T12:46:27Z</dcterms:created>
  <dc:creator>openpyxl</dc:creator>
  <dc:description/>
  <dc:language>en-US</dc:language>
  <cp:lastModifiedBy/>
  <dcterms:modified xsi:type="dcterms:W3CDTF">2026-06-08T12:46:27Z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